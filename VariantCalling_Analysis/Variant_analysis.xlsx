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7777197_sun_ac_za/Documents/Assignments/Project/VariantCalling_Analysis/"/>
    </mc:Choice>
  </mc:AlternateContent>
  <xr:revisionPtr revIDLastSave="85" documentId="13_ncr:1_{9580FDC5-6A34-4E01-9629-7263410BD484}" xr6:coauthVersionLast="47" xr6:coauthVersionMax="47" xr10:uidLastSave="{D63ED2CB-05D5-40A2-8410-72C0F073ADC3}"/>
  <bookViews>
    <workbookView xWindow="-108" yWindow="-108" windowWidth="23256" windowHeight="12456" tabRatio="500" firstSheet="6" activeTab="8" xr2:uid="{00000000-000D-0000-FFFF-FFFF00000000}"/>
  </bookViews>
  <sheets>
    <sheet name="Computational resources" sheetId="1" r:id="rId1"/>
    <sheet name="Variant Counts" sheetId="2" r:id="rId2"/>
    <sheet name="Database Con &amp; Variant" sheetId="3" r:id="rId3"/>
    <sheet name="gnomAD AF_grpmax" sheetId="9" r:id="rId4"/>
    <sheet name="Allele AF bins" sheetId="7" r:id="rId5"/>
    <sheet name="Pop Metrics - DeepVariant" sheetId="4" r:id="rId6"/>
    <sheet name="Pop Metrics - GATK" sheetId="5" r:id="rId7"/>
    <sheet name="Pop Metrics - DRAGEN-GATK" sheetId="6" r:id="rId8"/>
    <sheet name="Paired t-test results" sheetId="12" r:id="rId9"/>
    <sheet name="Summary" sheetId="13" r:id="rId10"/>
  </sheets>
  <definedNames>
    <definedName name="_xlnm._FilterDatabase" localSheetId="8" hidden="1">'Paired t-test results'!$A$2:$G$38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9" l="1"/>
  <c r="B16" i="2"/>
  <c r="B8" i="7"/>
  <c r="B15" i="7" s="1"/>
  <c r="C8" i="7"/>
  <c r="D8" i="7"/>
  <c r="D53" i="9"/>
  <c r="D54" i="9" s="1"/>
  <c r="C53" i="9"/>
  <c r="C54" i="9" s="1"/>
  <c r="B53" i="9"/>
  <c r="B54" i="9" s="1"/>
  <c r="D44" i="9"/>
  <c r="C44" i="9"/>
  <c r="B44" i="9"/>
  <c r="D35" i="9"/>
  <c r="C35" i="9"/>
  <c r="B35" i="9"/>
  <c r="D26" i="9"/>
  <c r="C26" i="9"/>
  <c r="B26" i="9"/>
  <c r="D18" i="9"/>
  <c r="C18" i="9"/>
  <c r="B18" i="9"/>
  <c r="D8" i="9"/>
  <c r="C8" i="9"/>
  <c r="B8" i="9"/>
  <c r="D11" i="7"/>
  <c r="C11" i="7"/>
  <c r="B11" i="7"/>
  <c r="D9" i="7"/>
  <c r="C9" i="7"/>
  <c r="B9" i="7"/>
  <c r="C15" i="7"/>
  <c r="D20" i="6"/>
  <c r="C20" i="6"/>
  <c r="B20" i="6"/>
  <c r="D13" i="6"/>
  <c r="D19" i="6" s="1"/>
  <c r="C13" i="6"/>
  <c r="C19" i="6" s="1"/>
  <c r="B13" i="6"/>
  <c r="B19" i="6" s="1"/>
  <c r="D10" i="6"/>
  <c r="C10" i="6"/>
  <c r="B10" i="6"/>
  <c r="D8" i="6"/>
  <c r="C8" i="6"/>
  <c r="B8" i="6"/>
  <c r="D20" i="5"/>
  <c r="C20" i="5"/>
  <c r="B20" i="5"/>
  <c r="D13" i="5"/>
  <c r="D19" i="5" s="1"/>
  <c r="C13" i="5"/>
  <c r="C19" i="5" s="1"/>
  <c r="B13" i="5"/>
  <c r="B19" i="5" s="1"/>
  <c r="D10" i="5"/>
  <c r="C10" i="5"/>
  <c r="B10" i="5"/>
  <c r="D8" i="5"/>
  <c r="C8" i="5"/>
  <c r="B8" i="5"/>
  <c r="D20" i="4"/>
  <c r="C20" i="4"/>
  <c r="B20" i="4"/>
  <c r="D13" i="4"/>
  <c r="D19" i="4" s="1"/>
  <c r="C13" i="4"/>
  <c r="C19" i="4" s="1"/>
  <c r="B13" i="4"/>
  <c r="B19" i="4" s="1"/>
  <c r="D10" i="4"/>
  <c r="C10" i="4"/>
  <c r="B10" i="4"/>
  <c r="D8" i="4"/>
  <c r="C8" i="4"/>
  <c r="B8" i="4"/>
  <c r="D16" i="3"/>
  <c r="C16" i="3"/>
  <c r="B16" i="3"/>
  <c r="D14" i="3"/>
  <c r="C14" i="3"/>
  <c r="B14" i="3"/>
  <c r="D16" i="2"/>
  <c r="C16" i="2"/>
  <c r="D7" i="2"/>
  <c r="C7" i="2"/>
  <c r="B7" i="2"/>
  <c r="C29" i="9" l="1"/>
  <c r="C28" i="9"/>
  <c r="C27" i="9"/>
  <c r="B29" i="9"/>
  <c r="B28" i="9"/>
  <c r="C20" i="9"/>
  <c r="D29" i="9"/>
  <c r="D28" i="9"/>
  <c r="D27" i="9"/>
  <c r="C11" i="9"/>
  <c r="C10" i="9"/>
  <c r="C9" i="9"/>
  <c r="B20" i="9"/>
  <c r="B11" i="9"/>
  <c r="B10" i="9"/>
  <c r="B9" i="9"/>
  <c r="D47" i="9"/>
  <c r="D46" i="9"/>
  <c r="D45" i="9"/>
  <c r="C47" i="9"/>
  <c r="C46" i="9"/>
  <c r="C45" i="9"/>
  <c r="B47" i="9"/>
  <c r="B46" i="9"/>
  <c r="B45" i="9"/>
  <c r="D38" i="9"/>
  <c r="D37" i="9"/>
  <c r="D36" i="9"/>
  <c r="C38" i="9"/>
  <c r="C37" i="9"/>
  <c r="C36" i="9"/>
  <c r="B38" i="9"/>
  <c r="B37" i="9"/>
  <c r="B36" i="9"/>
  <c r="D20" i="9"/>
  <c r="D9" i="9"/>
  <c r="D11" i="9"/>
  <c r="D10" i="9"/>
  <c r="D15" i="7"/>
  <c r="D14" i="7"/>
  <c r="D13" i="7"/>
  <c r="D12" i="7"/>
  <c r="D10" i="7"/>
  <c r="C14" i="7"/>
  <c r="C13" i="7"/>
  <c r="C12" i="7"/>
  <c r="C10" i="7"/>
  <c r="B14" i="7"/>
  <c r="B13" i="7"/>
  <c r="B12" i="7"/>
  <c r="B10" i="7"/>
</calcChain>
</file>

<file path=xl/sharedStrings.xml><?xml version="1.0" encoding="utf-8"?>
<sst xmlns="http://schemas.openxmlformats.org/spreadsheetml/2006/main" count="378" uniqueCount="152">
  <si>
    <t>COMPUTATIONAL RESOURCES</t>
  </si>
  <si>
    <t>Metric</t>
  </si>
  <si>
    <t>GATK</t>
  </si>
  <si>
    <t>DeepVariant</t>
  </si>
  <si>
    <t>DRAGEN-GATK</t>
  </si>
  <si>
    <t>Wall clock time</t>
  </si>
  <si>
    <t>81,63 h</t>
  </si>
  <si>
    <t>10,55 h</t>
  </si>
  <si>
    <t>119,57 h</t>
  </si>
  <si>
    <t>CPU utilisation</t>
  </si>
  <si>
    <t xml:space="preserve">CPU time </t>
  </si>
  <si>
    <t>81,15 h</t>
  </si>
  <si>
    <t>12,42 h</t>
  </si>
  <si>
    <t>117,04 h</t>
  </si>
  <si>
    <t>Peak memory (RAM)</t>
  </si>
  <si>
    <t>4,60 GB</t>
  </si>
  <si>
    <t>108,85 GB</t>
  </si>
  <si>
    <t>10,39 GB</t>
  </si>
  <si>
    <t>Call set</t>
  </si>
  <si>
    <t>Final jVCF</t>
  </si>
  <si>
    <t>Samples</t>
  </si>
  <si>
    <t>gatk_hardfiltered_PASS.vcf.gz</t>
  </si>
  <si>
    <t>deepvariant_joint.vcf.gz</t>
  </si>
  <si>
    <t>dragen_gatk_hardfiltered_PASS.vcf.gz</t>
  </si>
  <si>
    <t>VARIANT COUNTS &amp; CALLSET QUALITY</t>
  </si>
  <si>
    <t>Total variants</t>
  </si>
  <si>
    <t>SNPs</t>
  </si>
  <si>
    <t>INDELS</t>
  </si>
  <si>
    <t>SNP/INDEL ratio</t>
  </si>
  <si>
    <t xml:space="preserve">Multiallelic variant </t>
  </si>
  <si>
    <t xml:space="preserve">Biallelic variant </t>
  </si>
  <si>
    <t>Ti/Tv ratio — overall</t>
  </si>
  <si>
    <t>Ti/Tv — known variants</t>
  </si>
  <si>
    <t>Ti/Tv — novel variants</t>
  </si>
  <si>
    <t>Het/hom ratio</t>
  </si>
  <si>
    <t>Hardy-Weinberg deviation  (%)</t>
  </si>
  <si>
    <t>HWE-deviant sites (P&lt;10^-6)</t>
  </si>
  <si>
    <t>Multiallelic %</t>
  </si>
  <si>
    <t>DATABASE CONCORDANCE AND VARIANT NOVELTY</t>
  </si>
  <si>
    <t>dbSNP concordance rate</t>
  </si>
  <si>
    <t>gnomAD — common variants
MAF ≥ 0.05 in gnomAD</t>
  </si>
  <si>
    <t>gnomAD — rare variants
MAF &lt; 0.05 in gnomAD</t>
  </si>
  <si>
    <t>Novel variant rate
Absent from gnomAD entirely</t>
  </si>
  <si>
    <t>3-caller overlap</t>
  </si>
  <si>
    <t>Pairwise concordance</t>
  </si>
  <si>
    <t>Caller-unique variants</t>
  </si>
  <si>
    <t>Primary-chromosome SNPs</t>
  </si>
  <si>
    <t>Known SNPs</t>
  </si>
  <si>
    <t>Novel SNPs</t>
  </si>
  <si>
    <t>dbSNP-known variants</t>
  </si>
  <si>
    <t>dbSNP-known rate</t>
  </si>
  <si>
    <t>Novel / absent from dbSNP</t>
  </si>
  <si>
    <t>Novel rate</t>
  </si>
  <si>
    <t>Shared variants</t>
  </si>
  <si>
    <t>Union</t>
  </si>
  <si>
    <t>Jaccard</t>
  </si>
  <si>
    <t>GATK vs DeepVariant</t>
  </si>
  <si>
    <t>GATK vs DRAGEN-GATK</t>
  </si>
  <si>
    <t>DeepVariant vs DRAGEN-GATK</t>
  </si>
  <si>
    <t>POPULATION METRICS — DeepVariant + Glnexus</t>
  </si>
  <si>
    <t>African (n=3)</t>
  </si>
  <si>
    <t>European (n=2)</t>
  </si>
  <si>
    <t>SAC (n=39)</t>
  </si>
  <si>
    <t>INDELs</t>
  </si>
  <si>
    <t>Multiallelic</t>
  </si>
  <si>
    <t>Biallelic</t>
  </si>
  <si>
    <t>Ti/Tv</t>
  </si>
  <si>
    <t>Total genotypes</t>
  </si>
  <si>
    <t>Missing genotypes</t>
  </si>
  <si>
    <t>HOM_REF</t>
  </si>
  <si>
    <t>HET</t>
  </si>
  <si>
    <t>HOM_ALT</t>
  </si>
  <si>
    <t>Other genotypes</t>
  </si>
  <si>
    <t>Missingness</t>
  </si>
  <si>
    <t>HET/HOM_ALT ratio</t>
  </si>
  <si>
    <t>POPULATION METRICS — GATK</t>
  </si>
  <si>
    <t>POPULATION METRICS — DRAGEN-GATK</t>
  </si>
  <si>
    <t>COHORT ALLELE FREQUENCY BINS (n=44, ALLELE LEVEL)</t>
  </si>
  <si>
    <t>Common (AF ≥ 0.05)</t>
  </si>
  <si>
    <t>Low-frequency (0.02 ≤ AF &lt; 0.05)</t>
  </si>
  <si>
    <t>Rare (0.01 ≤ AF &lt; 0.02)</t>
  </si>
  <si>
    <t>Below 0.01</t>
  </si>
  <si>
    <t>Total alleles after splitting</t>
  </si>
  <si>
    <t>Records (Variant Counts)</t>
  </si>
  <si>
    <t>Extra alleles from multiallelic splitting</t>
  </si>
  <si>
    <t>Multiallelic records split</t>
  </si>
  <si>
    <t>Common (%)</t>
  </si>
  <si>
    <t>Low-frequency (%)</t>
  </si>
  <si>
    <t>Rare (%)</t>
  </si>
  <si>
    <t>Below 0.01 (%)</t>
  </si>
  <si>
    <t>SNP alleles</t>
  </si>
  <si>
    <t>INDEL alleles</t>
  </si>
  <si>
    <t>Spanning-deletion (OVERLAP) alleles</t>
  </si>
  <si>
    <t>OTHER alleles</t>
  </si>
  <si>
    <t>GNOMAD v4.1 AF_grpmax CLASSES, PASS-ONLY, FULL CALL SETS (ALLELES)</t>
  </si>
  <si>
    <t>Novel (AF_grpmax missing or not in gnomAD)</t>
  </si>
  <si>
    <t>Rare (0 &lt; AF_grpmax &lt; 0.05)</t>
  </si>
  <si>
    <t>Common (AF_grpmax ≥ 0.05)</t>
  </si>
  <si>
    <t>Total classified</t>
  </si>
  <si>
    <t>Novel (%)</t>
  </si>
  <si>
    <t>Alleles excluded from the classification</t>
  </si>
  <si>
    <t>Other contigs (alternate, decoy, unplaced, chrY, chrM)</t>
  </si>
  <si>
    <t>Spanning-deletion (*) alleles</t>
  </si>
  <si>
    <t>OTHER-type alleles</t>
  </si>
  <si>
    <t>No carrier in any sample (AC = 0)</t>
  </si>
  <si>
    <t>Total excluded</t>
  </si>
  <si>
    <t>Total alleles in the split call set</t>
  </si>
  <si>
    <t>Check: classified + excluded − total</t>
  </si>
  <si>
    <t>Novel</t>
  </si>
  <si>
    <t>Rare</t>
  </si>
  <si>
    <t>Common</t>
  </si>
  <si>
    <t>Total alleles present in group</t>
  </si>
  <si>
    <t>Cohort allele counts (descriptive, QC; not used to define classes)</t>
  </si>
  <si>
    <t>Singletons (AC = 1)</t>
  </si>
  <si>
    <t>Doubletons (AC = 2)</t>
  </si>
  <si>
    <t>AC ≥ 3</t>
  </si>
  <si>
    <t>Total (equals total classified)</t>
  </si>
  <si>
    <t>Singleton (%)</t>
  </si>
  <si>
    <t>All alleles (chr1-22, X; PASS-only)</t>
  </si>
  <si>
    <t>15903958 known + 4876823 novel</t>
  </si>
  <si>
    <t>16218254 known + 4837121 novel</t>
  </si>
  <si>
    <t>15887245 known + 4871392 novel</t>
  </si>
  <si>
    <t>Yes</t>
  </si>
  <si>
    <t>DV − DRAGEN</t>
  </si>
  <si>
    <t>Novel (absent from gnomAD)</t>
  </si>
  <si>
    <t>SAC</t>
  </si>
  <si>
    <t>GATK − DRAGEN</t>
  </si>
  <si>
    <t>GATK − DV</t>
  </si>
  <si>
    <t>Low-frequency (0.01 ≤ AF &lt; 0.05)</t>
  </si>
  <si>
    <t>Rare (0 &lt; AF &lt; 0.01)</t>
  </si>
  <si>
    <t>No</t>
  </si>
  <si>
    <t>European</t>
  </si>
  <si>
    <t>African</t>
  </si>
  <si>
    <t>Significant (adjusted p &lt; 0.05)</t>
  </si>
  <si>
    <t>Holm-adjusted p-value</t>
  </si>
  <si>
    <t>Mean difference (sites; caller 1 − caller 2)</t>
  </si>
  <si>
    <t>Caller comparison</t>
  </si>
  <si>
    <t>Variant class</t>
  </si>
  <si>
    <t>Sample size (n)</t>
  </si>
  <si>
    <t>Population</t>
  </si>
  <si>
    <t>Paired t-test comparison of variant-site counts by population and variant class</t>
  </si>
  <si>
    <t>• Frequency classes: common AF ≥ 0.05; rare 0 &lt; AF &lt; 0.01; low-frequency 0.01 ≤ AF &lt; 0.05.</t>
  </si>
  <si>
    <t>• African (n=3) and European (n=2) results should be interpreted cautiously due to small sample sizes.</t>
  </si>
  <si>
    <t>• These tests compare caller output counts, not accuracy, sensitivity, or precision.</t>
  </si>
  <si>
    <t>• Novel variants are defined as absent from gnomAD, not by an AF threshold.</t>
  </si>
  <si>
    <t>• Negative mean difference means caller 2 reported more variant sites than caller 1.</t>
  </si>
  <si>
    <t>• Positive mean difference means caller 1 reported more variant sites than caller 2.</t>
  </si>
  <si>
    <t>Interpretation notes</t>
  </si>
  <si>
    <t>Total comparisons</t>
  </si>
  <si>
    <t>Significant comparisons</t>
  </si>
  <si>
    <t>n</t>
  </si>
  <si>
    <t>Summary of paired t-test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</si>
</sst>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0.000000%"/>
    <numFmt numFmtId="166" formatCode="0.0%"/>
    <numFmt numFmtId="167" formatCode="0.000%"/>
  </numFmts>
  <fonts count="19" x14ac:knownFonts="1">
    <font>
      <sz val="11"/>
      <name val="Calibri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1"/>
    </font>
    <font>
      <b/>
      <sz val="11"/>
      <color rgb="FF1F2937"/>
      <name val="Calibri"/>
      <charset val="1"/>
    </font>
    <font>
      <sz val="10"/>
      <color rgb="FF1F2937"/>
      <name val="Calibri"/>
      <charset val="1"/>
    </font>
    <font>
      <i/>
      <sz val="9"/>
      <color rgb="FF6B7280"/>
      <name val="Calibri"/>
      <charset val="1"/>
    </font>
    <font>
      <b/>
      <sz val="16"/>
      <color rgb="FFFFFFFF"/>
      <name val="Calibri"/>
      <charset val="1"/>
    </font>
    <font>
      <sz val="11"/>
      <name val="Calibri"/>
      <family val="2"/>
      <charset val="1"/>
    </font>
    <font>
      <b/>
      <sz val="11"/>
      <color rgb="FF1F2937"/>
      <name val="Calibri"/>
      <family val="2"/>
      <charset val="1"/>
    </font>
    <font>
      <sz val="10"/>
      <color rgb="FF1F2937"/>
      <name val="Calibri"/>
      <family val="2"/>
      <charset val="1"/>
    </font>
    <font>
      <sz val="10"/>
      <name val="Calibri"/>
      <charset val="1"/>
    </font>
    <font>
      <i/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1F2937"/>
      <name val="Calibri"/>
      <charset val="1"/>
    </font>
    <font>
      <sz val="11"/>
      <name val="Calibri"/>
      <charset val="1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43B53"/>
        <bgColor rgb="FF1F2937"/>
      </patternFill>
    </fill>
    <fill>
      <patternFill patternType="solid">
        <fgColor rgb="FFEEEAFE"/>
        <bgColor rgb="FFFFFFFF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/>
    </xf>
    <xf numFmtId="10" fontId="0" fillId="0" borderId="0" xfId="0" applyNumberFormat="1" applyAlignment="1">
      <alignment vertical="center"/>
    </xf>
    <xf numFmtId="10" fontId="4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2" fontId="4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/>
    <xf numFmtId="0" fontId="8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3" fontId="9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/>
    </xf>
    <xf numFmtId="0" fontId="11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2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10" fontId="11" fillId="0" borderId="0" xfId="0" applyNumberFormat="1" applyFont="1"/>
    <xf numFmtId="0" fontId="12" fillId="0" borderId="0" xfId="0" applyFont="1"/>
    <xf numFmtId="10" fontId="11" fillId="0" borderId="0" xfId="0" applyNumberFormat="1" applyFont="1" applyAlignment="1">
      <alignment wrapText="1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/>
    <xf numFmtId="0" fontId="13" fillId="0" borderId="0" xfId="0" applyFont="1"/>
    <xf numFmtId="3" fontId="13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right" wrapText="1"/>
    </xf>
    <xf numFmtId="10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43" fontId="0" fillId="0" borderId="0" xfId="1" applyFont="1"/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2"/>
    <xf numFmtId="0" fontId="1" fillId="0" borderId="0" xfId="2" applyAlignment="1">
      <alignment vertical="top" wrapText="1"/>
    </xf>
    <xf numFmtId="11" fontId="15" fillId="0" borderId="0" xfId="2" applyNumberFormat="1" applyFont="1" applyAlignment="1">
      <alignment vertical="top"/>
    </xf>
    <xf numFmtId="40" fontId="1" fillId="0" borderId="0" xfId="2" applyNumberFormat="1" applyAlignment="1">
      <alignment vertical="top"/>
    </xf>
    <xf numFmtId="0" fontId="1" fillId="0" borderId="0" xfId="2" applyAlignment="1">
      <alignment vertical="top"/>
    </xf>
    <xf numFmtId="11" fontId="1" fillId="0" borderId="0" xfId="2" applyNumberFormat="1" applyAlignment="1">
      <alignment vertical="top"/>
    </xf>
    <xf numFmtId="0" fontId="16" fillId="4" borderId="0" xfId="2" applyFont="1" applyFill="1" applyAlignment="1">
      <alignment horizontal="center" vertical="center" wrapText="1"/>
    </xf>
    <xf numFmtId="0" fontId="1" fillId="0" borderId="0" xfId="2"/>
    <xf numFmtId="0" fontId="17" fillId="5" borderId="0" xfId="2" applyFont="1" applyFill="1" applyAlignment="1">
      <alignment horizontal="center" vertical="center"/>
    </xf>
    <xf numFmtId="0" fontId="1" fillId="0" borderId="0" xfId="2" applyAlignment="1">
      <alignment vertical="top" wrapText="1"/>
    </xf>
    <xf numFmtId="0" fontId="18" fillId="0" borderId="0" xfId="2" applyFont="1"/>
    <xf numFmtId="0" fontId="1" fillId="6" borderId="0" xfId="2" applyFill="1" applyAlignment="1">
      <alignment horizontal="center"/>
    </xf>
    <xf numFmtId="0" fontId="1" fillId="0" borderId="0" xfId="2" applyAlignment="1">
      <alignment horizontal="center"/>
    </xf>
    <xf numFmtId="0" fontId="16" fillId="4" borderId="0" xfId="2" applyFont="1" applyFill="1"/>
    <xf numFmtId="0" fontId="17" fillId="5" borderId="0" xfId="2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78D8DDEC-347E-4514-9A9C-E2763641CD4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243B53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9:D22" totalsRowShown="0">
  <autoFilter ref="A19:D22" xr:uid="{00000000-0009-0000-0100-000001000000}"/>
  <tableColumns count="4">
    <tableColumn id="1" xr3:uid="{00000000-0010-0000-0000-000001000000}" name="Pairwise concordance"/>
    <tableColumn id="2" xr3:uid="{00000000-0010-0000-0000-000002000000}" name="Shared variants"/>
    <tableColumn id="3" xr3:uid="{00000000-0010-0000-0000-000003000000}" name="Union"/>
    <tableColumn id="4" xr3:uid="{00000000-0010-0000-0000-000004000000}" name="Jaccar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activeCell="E9" sqref="E9"/>
    </sheetView>
  </sheetViews>
  <sheetFormatPr defaultColWidth="8.6640625" defaultRowHeight="14.4" x14ac:dyDescent="0.3"/>
  <cols>
    <col min="1" max="1" width="32" style="1" customWidth="1"/>
    <col min="2" max="2" width="32.21875" customWidth="1"/>
    <col min="3" max="3" width="18" customWidth="1"/>
    <col min="4" max="4" width="16" customWidth="1"/>
  </cols>
  <sheetData>
    <row r="1" spans="1:5" ht="21" customHeight="1" x14ac:dyDescent="0.3">
      <c r="A1" s="45" t="s">
        <v>0</v>
      </c>
      <c r="B1" s="45"/>
      <c r="C1" s="45"/>
      <c r="D1" s="45"/>
    </row>
    <row r="2" spans="1:5" ht="14.2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4"/>
    </row>
    <row r="3" spans="1:5" ht="14.25" customHeight="1" x14ac:dyDescent="0.3">
      <c r="A3" s="1" t="s">
        <v>5</v>
      </c>
      <c r="B3" s="5" t="s">
        <v>6</v>
      </c>
      <c r="C3" s="6" t="s">
        <v>7</v>
      </c>
      <c r="D3" s="5" t="s">
        <v>8</v>
      </c>
      <c r="E3" s="4"/>
    </row>
    <row r="4" spans="1:5" ht="14.25" customHeight="1" x14ac:dyDescent="0.3">
      <c r="A4" s="1" t="s">
        <v>9</v>
      </c>
      <c r="B4" s="7">
        <v>0.99329999999999996</v>
      </c>
      <c r="C4" s="8">
        <v>0.99939999999999996</v>
      </c>
      <c r="D4" s="9">
        <v>0.97899999999999998</v>
      </c>
      <c r="E4" s="4"/>
    </row>
    <row r="5" spans="1:5" ht="14.25" customHeight="1" x14ac:dyDescent="0.3">
      <c r="A5" s="10" t="s">
        <v>10</v>
      </c>
      <c r="B5" s="5" t="s">
        <v>11</v>
      </c>
      <c r="C5" s="6" t="s">
        <v>12</v>
      </c>
      <c r="D5" s="11" t="s">
        <v>13</v>
      </c>
    </row>
    <row r="6" spans="1:5" ht="14.25" customHeight="1" x14ac:dyDescent="0.3">
      <c r="A6" s="10" t="s">
        <v>14</v>
      </c>
      <c r="B6" s="5" t="s">
        <v>15</v>
      </c>
      <c r="C6" s="6" t="s">
        <v>16</v>
      </c>
      <c r="D6" s="11" t="s">
        <v>17</v>
      </c>
    </row>
    <row r="7" spans="1:5" ht="14.25" customHeight="1" x14ac:dyDescent="0.3">
      <c r="A7" s="10"/>
      <c r="B7" s="4"/>
      <c r="C7" s="4"/>
      <c r="D7" s="1"/>
    </row>
    <row r="8" spans="1:5" ht="14.25" customHeight="1" x14ac:dyDescent="0.3">
      <c r="A8" s="3" t="s">
        <v>18</v>
      </c>
      <c r="B8" s="3" t="s">
        <v>19</v>
      </c>
      <c r="C8" s="3" t="s">
        <v>20</v>
      </c>
    </row>
    <row r="9" spans="1:5" ht="14.25" customHeight="1" x14ac:dyDescent="0.3">
      <c r="A9" s="1" t="s">
        <v>2</v>
      </c>
      <c r="B9" s="12" t="s">
        <v>21</v>
      </c>
      <c r="C9">
        <v>44</v>
      </c>
    </row>
    <row r="10" spans="1:5" ht="14.25" customHeight="1" x14ac:dyDescent="0.3">
      <c r="A10" s="1" t="s">
        <v>3</v>
      </c>
      <c r="B10" s="12" t="s">
        <v>22</v>
      </c>
      <c r="C10">
        <v>44</v>
      </c>
    </row>
    <row r="11" spans="1:5" ht="14.25" customHeight="1" x14ac:dyDescent="0.3">
      <c r="A11" s="1" t="s">
        <v>4</v>
      </c>
      <c r="B11" s="12" t="s">
        <v>23</v>
      </c>
      <c r="C11">
        <v>44</v>
      </c>
    </row>
    <row r="12" spans="1:5" ht="27" customHeight="1" x14ac:dyDescent="0.3"/>
    <row r="14" spans="1:5" ht="13.5" customHeight="1" x14ac:dyDescent="0.3">
      <c r="A14" s="13"/>
      <c r="B14" s="13"/>
      <c r="C14" s="13"/>
      <c r="D14" s="13"/>
    </row>
    <row r="15" spans="1:5" ht="14.25" customHeight="1" x14ac:dyDescent="0.3">
      <c r="A15" s="13"/>
      <c r="B15" s="13"/>
      <c r="C15" s="13"/>
      <c r="D15" s="13"/>
    </row>
    <row r="16" spans="1:5" ht="14.25" customHeight="1" x14ac:dyDescent="0.3">
      <c r="D16" s="13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zoomScaleNormal="100" workbookViewId="0">
      <selection activeCell="B14" sqref="B14"/>
    </sheetView>
  </sheetViews>
  <sheetFormatPr defaultColWidth="8.6640625" defaultRowHeight="14.4" x14ac:dyDescent="0.3"/>
  <cols>
    <col min="1" max="1" width="28" customWidth="1"/>
    <col min="2" max="4" width="16" customWidth="1"/>
  </cols>
  <sheetData>
    <row r="1" spans="1:13" ht="20.25" customHeight="1" x14ac:dyDescent="0.3">
      <c r="A1" s="46" t="s">
        <v>24</v>
      </c>
      <c r="B1" s="46"/>
      <c r="C1" s="46"/>
      <c r="D1" s="46"/>
      <c r="E1" s="4"/>
      <c r="F1" s="4"/>
      <c r="G1" s="4"/>
      <c r="H1" s="4"/>
      <c r="I1" s="4"/>
      <c r="J1" s="4"/>
      <c r="K1" s="4"/>
      <c r="L1" s="4"/>
      <c r="M1" s="4"/>
    </row>
    <row r="2" spans="1:13" ht="21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4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x14ac:dyDescent="0.3">
      <c r="A4" s="4" t="s">
        <v>25</v>
      </c>
      <c r="B4" s="6">
        <v>24097372</v>
      </c>
      <c r="C4" s="6">
        <v>24008026</v>
      </c>
      <c r="D4" s="6">
        <v>24031511</v>
      </c>
      <c r="E4" s="4"/>
      <c r="F4" s="4"/>
      <c r="G4" s="4"/>
      <c r="H4" s="4"/>
      <c r="I4" s="4"/>
      <c r="J4" s="4"/>
      <c r="K4" s="4"/>
      <c r="L4" s="4"/>
      <c r="M4" s="4"/>
    </row>
    <row r="5" spans="1:13" ht="14.25" customHeight="1" x14ac:dyDescent="0.3">
      <c r="A5" s="4" t="s">
        <v>26</v>
      </c>
      <c r="B5" s="6">
        <v>20635443</v>
      </c>
      <c r="C5" s="6">
        <v>20967444</v>
      </c>
      <c r="D5" s="6">
        <v>20597410</v>
      </c>
      <c r="E5" s="4"/>
      <c r="F5" s="4"/>
      <c r="G5" s="4"/>
      <c r="H5" s="4"/>
      <c r="I5" s="4"/>
      <c r="J5" s="4"/>
      <c r="K5" s="4"/>
      <c r="L5" s="4"/>
      <c r="M5" s="4"/>
    </row>
    <row r="6" spans="1:13" ht="14.25" customHeight="1" x14ac:dyDescent="0.3">
      <c r="A6" s="4" t="s">
        <v>27</v>
      </c>
      <c r="B6" s="6">
        <v>3461929</v>
      </c>
      <c r="C6" s="6">
        <v>3281708</v>
      </c>
      <c r="D6" s="6">
        <v>3434101</v>
      </c>
      <c r="E6" s="4"/>
      <c r="F6" s="4"/>
      <c r="G6" s="4"/>
      <c r="H6" s="4"/>
      <c r="I6" s="4"/>
      <c r="J6" s="4"/>
      <c r="K6" s="4"/>
      <c r="L6" s="4"/>
      <c r="M6" s="4"/>
    </row>
    <row r="7" spans="1:13" ht="14.25" customHeight="1" x14ac:dyDescent="0.3">
      <c r="A7" s="4" t="s">
        <v>28</v>
      </c>
      <c r="B7" s="14">
        <f>B5/B6</f>
        <v>5.9606777030955866</v>
      </c>
      <c r="C7" s="14">
        <f>C5/C6</f>
        <v>6.3891863627111247</v>
      </c>
      <c r="D7" s="14">
        <f>D5/D6</f>
        <v>5.9979045461970975</v>
      </c>
      <c r="E7" s="4"/>
      <c r="F7" s="4"/>
      <c r="G7" s="4"/>
      <c r="H7" s="4"/>
      <c r="I7" s="4"/>
      <c r="J7" s="4"/>
      <c r="K7" s="4"/>
      <c r="L7" s="4"/>
      <c r="M7" s="4"/>
    </row>
    <row r="8" spans="1:13" ht="14.25" customHeight="1" x14ac:dyDescent="0.3">
      <c r="A8" s="4" t="s">
        <v>29</v>
      </c>
      <c r="B8" s="6">
        <v>1382916</v>
      </c>
      <c r="C8" s="6">
        <v>1066391</v>
      </c>
      <c r="D8" s="6">
        <v>1373812</v>
      </c>
      <c r="E8" s="4"/>
      <c r="F8" s="4"/>
      <c r="G8" s="4"/>
      <c r="H8" s="4"/>
      <c r="I8" s="4"/>
      <c r="J8" s="4"/>
      <c r="K8" s="4"/>
      <c r="L8" s="4"/>
      <c r="M8" s="4"/>
    </row>
    <row r="9" spans="1:13" ht="14.25" customHeight="1" x14ac:dyDescent="0.3">
      <c r="A9" s="4" t="s">
        <v>30</v>
      </c>
      <c r="B9" s="6">
        <v>22714456</v>
      </c>
      <c r="C9" s="6">
        <v>22941635</v>
      </c>
      <c r="D9" s="6">
        <v>22657699</v>
      </c>
      <c r="E9" s="4"/>
      <c r="F9" s="4"/>
      <c r="G9" s="4"/>
      <c r="H9" s="4"/>
      <c r="I9" s="4"/>
      <c r="J9" s="4"/>
      <c r="K9" s="4"/>
      <c r="L9" s="4"/>
      <c r="M9" s="4"/>
    </row>
    <row r="10" spans="1:13" ht="14.25" customHeight="1" x14ac:dyDescent="0.3">
      <c r="A10" s="4" t="s">
        <v>31</v>
      </c>
      <c r="B10" s="6">
        <v>2.0499999999999998</v>
      </c>
      <c r="C10" s="6">
        <v>2.04</v>
      </c>
      <c r="D10" s="6">
        <v>2.06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14.25" customHeight="1" x14ac:dyDescent="0.3">
      <c r="A11" s="12" t="s">
        <v>32</v>
      </c>
      <c r="B11" s="6">
        <v>2.1309629999999999</v>
      </c>
      <c r="C11" s="6">
        <v>2.1111260000000001</v>
      </c>
      <c r="D11" s="6">
        <v>2.131821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ht="14.25" customHeight="1" x14ac:dyDescent="0.3">
      <c r="A12" s="4" t="s">
        <v>33</v>
      </c>
      <c r="B12" s="6">
        <v>1.6039939999999999</v>
      </c>
      <c r="C12" s="6">
        <v>1.8029550000000001</v>
      </c>
      <c r="D12" s="6">
        <v>1.617164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ht="14.25" customHeight="1" x14ac:dyDescent="0.3">
      <c r="A13" s="4" t="s">
        <v>34</v>
      </c>
      <c r="B13" s="6">
        <v>2.1844999999999999</v>
      </c>
      <c r="C13" s="6">
        <v>1.8873</v>
      </c>
      <c r="D13" s="6">
        <v>2.0448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 ht="14.25" customHeight="1" x14ac:dyDescent="0.3">
      <c r="A14" s="4" t="s">
        <v>35</v>
      </c>
      <c r="B14" s="39">
        <v>4.3949999999999996E-3</v>
      </c>
      <c r="C14" s="39">
        <v>3.4489999999999998E-3</v>
      </c>
      <c r="D14" s="39">
        <v>2.4190000000000001E-3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14.25" customHeight="1" x14ac:dyDescent="0.3">
      <c r="A15" s="4" t="s">
        <v>36</v>
      </c>
      <c r="B15" s="15">
        <v>117935</v>
      </c>
      <c r="C15" s="16">
        <v>91457</v>
      </c>
      <c r="D15" s="16">
        <v>64815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 ht="14.25" customHeight="1" x14ac:dyDescent="0.3">
      <c r="A16" s="4" t="s">
        <v>37</v>
      </c>
      <c r="B16" s="8">
        <f>B8/B4</f>
        <v>5.7388664622847668E-2</v>
      </c>
      <c r="C16" s="8">
        <f>C8/C4</f>
        <v>4.4418104178994139E-2</v>
      </c>
      <c r="D16" s="8">
        <f>D8/D4</f>
        <v>5.7167108634991783E-2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3.5" customHeight="1" x14ac:dyDescent="0.3">
      <c r="A17" s="13"/>
      <c r="B17" s="13"/>
      <c r="C17" s="13"/>
      <c r="D17" s="13"/>
      <c r="E17" s="4"/>
      <c r="F17" s="4"/>
      <c r="G17" s="4"/>
      <c r="H17" s="4"/>
      <c r="I17" s="4"/>
      <c r="J17" s="4"/>
      <c r="K17" s="4"/>
      <c r="L17" s="4"/>
      <c r="M17" s="4"/>
    </row>
    <row r="18" spans="1:13" ht="14.25" customHeight="1" x14ac:dyDescent="0.3">
      <c r="A18" s="13"/>
      <c r="B18" s="13"/>
      <c r="C18" s="13"/>
      <c r="D18" s="13"/>
      <c r="E18" s="4"/>
      <c r="F18" s="4"/>
      <c r="G18" s="4"/>
      <c r="H18" s="4"/>
      <c r="I18" s="4"/>
      <c r="J18" s="4"/>
      <c r="K18" s="4"/>
      <c r="L18" s="4"/>
      <c r="M18" s="4"/>
    </row>
    <row r="19" spans="1:13" ht="14.25" customHeight="1" x14ac:dyDescent="0.3">
      <c r="A19" s="13"/>
      <c r="B19" s="13"/>
      <c r="C19" s="13"/>
      <c r="D19" s="13"/>
      <c r="E19" s="4"/>
      <c r="F19" s="4"/>
      <c r="G19" s="4"/>
      <c r="H19" s="4"/>
      <c r="I19" s="4"/>
      <c r="J19" s="4"/>
      <c r="K19" s="4"/>
      <c r="L19" s="4"/>
      <c r="M19" s="4"/>
    </row>
    <row r="20" spans="1:13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"/>
  <sheetViews>
    <sheetView topLeftCell="A5" zoomScaleNormal="100" workbookViewId="0">
      <selection activeCell="B30" sqref="B30"/>
    </sheetView>
  </sheetViews>
  <sheetFormatPr defaultColWidth="8.6640625" defaultRowHeight="14.4" x14ac:dyDescent="0.3"/>
  <cols>
    <col min="1" max="1" width="26" customWidth="1"/>
    <col min="2" max="2" width="22.88671875" customWidth="1"/>
    <col min="3" max="4" width="16" customWidth="1"/>
  </cols>
  <sheetData>
    <row r="1" spans="1:13" ht="20.25" customHeight="1" x14ac:dyDescent="0.3">
      <c r="A1" s="47" t="s">
        <v>38</v>
      </c>
      <c r="B1" s="47"/>
      <c r="C1" s="47"/>
      <c r="D1" s="47"/>
      <c r="E1" s="4"/>
      <c r="F1" s="4"/>
      <c r="G1" s="4"/>
      <c r="H1" s="4"/>
      <c r="I1" s="4"/>
      <c r="J1" s="4"/>
      <c r="K1" s="4"/>
      <c r="L1" s="4"/>
      <c r="M1" s="4"/>
    </row>
    <row r="2" spans="1:13" ht="21" customHeight="1" x14ac:dyDescent="0.3">
      <c r="A2" s="47"/>
      <c r="B2" s="47"/>
      <c r="C2" s="47"/>
      <c r="D2" s="47"/>
      <c r="E2" s="4"/>
      <c r="F2" s="4"/>
      <c r="G2" s="4"/>
      <c r="H2" s="4"/>
      <c r="I2" s="4"/>
      <c r="J2" s="4"/>
      <c r="K2" s="4"/>
      <c r="L2" s="4"/>
      <c r="M2" s="4"/>
    </row>
    <row r="3" spans="1:13" ht="24" customHeight="1" x14ac:dyDescent="0.3">
      <c r="A3" s="2" t="s">
        <v>1</v>
      </c>
      <c r="B3" s="17" t="s">
        <v>2</v>
      </c>
      <c r="C3" s="2" t="s">
        <v>3</v>
      </c>
      <c r="D3" s="2" t="s">
        <v>4</v>
      </c>
      <c r="E3" s="4"/>
      <c r="F3" s="4"/>
      <c r="G3" s="4"/>
      <c r="H3" s="4"/>
      <c r="I3" s="4"/>
      <c r="J3" s="4"/>
      <c r="K3" s="4"/>
      <c r="L3" s="4"/>
      <c r="M3" s="4"/>
    </row>
    <row r="4" spans="1:13" ht="27" customHeight="1" x14ac:dyDescent="0.3">
      <c r="A4" s="18" t="s">
        <v>39</v>
      </c>
      <c r="B4" s="40">
        <v>0.59930000000000005</v>
      </c>
      <c r="C4" s="40">
        <v>0.61240000000000006</v>
      </c>
      <c r="D4" s="40">
        <v>0.59950000000000003</v>
      </c>
      <c r="E4" s="4"/>
      <c r="F4" s="4"/>
      <c r="G4" s="4"/>
      <c r="H4" s="4"/>
      <c r="I4" s="4"/>
      <c r="J4" s="4"/>
      <c r="K4" s="4"/>
      <c r="L4" s="4"/>
      <c r="M4" s="4"/>
    </row>
    <row r="5" spans="1:13" ht="41.25" customHeight="1" x14ac:dyDescent="0.3">
      <c r="A5" s="19" t="s">
        <v>40</v>
      </c>
      <c r="B5" s="40">
        <v>0.39400000000000002</v>
      </c>
      <c r="C5" s="40">
        <v>0.44</v>
      </c>
      <c r="D5" s="40">
        <v>0.42799999999999999</v>
      </c>
      <c r="E5" s="4"/>
      <c r="F5" s="4"/>
      <c r="G5" s="4"/>
      <c r="H5" s="4"/>
      <c r="I5" s="4"/>
      <c r="J5" s="4"/>
      <c r="K5" s="4"/>
      <c r="L5" s="4"/>
      <c r="M5" s="4"/>
    </row>
    <row r="6" spans="1:13" ht="41.25" customHeight="1" x14ac:dyDescent="0.3">
      <c r="A6" s="18" t="s">
        <v>41</v>
      </c>
      <c r="B6" s="40">
        <v>0.51800000000000002</v>
      </c>
      <c r="C6" s="40">
        <v>0.5</v>
      </c>
      <c r="D6" s="40">
        <v>0.5</v>
      </c>
      <c r="E6" s="4"/>
      <c r="F6" s="4"/>
      <c r="G6" s="4"/>
      <c r="H6" s="4"/>
      <c r="I6" s="4"/>
      <c r="J6" s="4"/>
      <c r="K6" s="4"/>
      <c r="L6" s="4"/>
      <c r="M6" s="4"/>
    </row>
    <row r="7" spans="1:13" ht="41.25" customHeight="1" x14ac:dyDescent="0.3">
      <c r="A7" s="18" t="s">
        <v>42</v>
      </c>
      <c r="B7" s="40">
        <v>0.08</v>
      </c>
      <c r="C7" s="40">
        <v>0.06</v>
      </c>
      <c r="D7" s="40">
        <v>6.4000000000000001E-2</v>
      </c>
      <c r="E7" s="4"/>
      <c r="F7" s="4"/>
      <c r="G7" s="4"/>
      <c r="H7" s="4"/>
      <c r="I7" s="4"/>
      <c r="J7" s="4"/>
      <c r="K7" s="4"/>
      <c r="L7" s="4"/>
      <c r="M7" s="4"/>
    </row>
    <row r="8" spans="1:13" ht="14.25" customHeight="1" x14ac:dyDescent="0.3">
      <c r="A8" s="18" t="s">
        <v>43</v>
      </c>
      <c r="B8" s="41">
        <v>24671010</v>
      </c>
      <c r="C8" s="41">
        <v>24671010</v>
      </c>
      <c r="D8" s="41">
        <v>24671010</v>
      </c>
      <c r="E8" s="4"/>
      <c r="F8" s="4"/>
      <c r="G8" s="4"/>
      <c r="H8" s="4"/>
      <c r="I8" s="4"/>
      <c r="J8" s="4"/>
      <c r="K8" s="4"/>
      <c r="L8" s="4"/>
      <c r="M8" s="4"/>
    </row>
    <row r="9" spans="1:13" ht="14.25" customHeight="1" x14ac:dyDescent="0.3">
      <c r="A9" s="18" t="s">
        <v>45</v>
      </c>
      <c r="B9" s="41">
        <v>310853</v>
      </c>
      <c r="C9" s="41">
        <v>1556468</v>
      </c>
      <c r="D9" s="41">
        <v>293040</v>
      </c>
      <c r="E9" s="4"/>
      <c r="F9" s="4"/>
      <c r="G9" s="4"/>
      <c r="H9" s="4"/>
      <c r="I9" s="4"/>
      <c r="J9" s="4"/>
      <c r="K9" s="4"/>
      <c r="L9" s="4"/>
      <c r="M9" s="4"/>
    </row>
    <row r="10" spans="1:13" ht="27" customHeight="1" x14ac:dyDescent="0.3">
      <c r="A10" s="20" t="s">
        <v>46</v>
      </c>
      <c r="B10" s="21" t="s">
        <v>119</v>
      </c>
      <c r="C10" s="42" t="s">
        <v>120</v>
      </c>
      <c r="D10" s="21" t="s">
        <v>121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14.25" customHeight="1" x14ac:dyDescent="0.3">
      <c r="A11" s="20" t="s">
        <v>47</v>
      </c>
      <c r="B11" s="22">
        <v>15903958</v>
      </c>
      <c r="C11" s="42">
        <v>16218254</v>
      </c>
      <c r="D11" s="22">
        <v>15887245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ht="14.25" customHeight="1" x14ac:dyDescent="0.3">
      <c r="A12" s="20" t="s">
        <v>48</v>
      </c>
      <c r="B12" s="22">
        <v>4876823</v>
      </c>
      <c r="C12" s="42">
        <v>4837121</v>
      </c>
      <c r="D12" s="22">
        <v>4871392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ht="14.25" customHeight="1" x14ac:dyDescent="0.3">
      <c r="A13" s="20" t="s">
        <v>49</v>
      </c>
      <c r="B13" s="22">
        <v>15909438</v>
      </c>
      <c r="C13" s="22">
        <v>16223925</v>
      </c>
      <c r="D13" s="22">
        <v>15892719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 ht="14.25" customHeight="1" x14ac:dyDescent="0.3">
      <c r="A14" s="20" t="s">
        <v>50</v>
      </c>
      <c r="B14" s="8">
        <f>B13/(B13+B15)</f>
        <v>0.59932829161519519</v>
      </c>
      <c r="C14" s="8">
        <f>C13/(C13+C15)</f>
        <v>0.61240989617294139</v>
      </c>
      <c r="D14" s="8">
        <f>D13/(D13+D15)</f>
        <v>0.59947244888240525</v>
      </c>
      <c r="E14" s="4"/>
      <c r="F14" s="4"/>
      <c r="G14" s="4"/>
      <c r="H14" s="4"/>
      <c r="I14" s="4"/>
    </row>
    <row r="15" spans="1:13" ht="14.25" customHeight="1" x14ac:dyDescent="0.3">
      <c r="A15" s="20" t="s">
        <v>51</v>
      </c>
      <c r="B15" s="22">
        <v>10636010</v>
      </c>
      <c r="C15" s="22">
        <v>10268013</v>
      </c>
      <c r="D15" s="22">
        <v>10618456</v>
      </c>
      <c r="E15" s="4"/>
      <c r="F15" s="4"/>
      <c r="G15" s="4"/>
      <c r="H15" s="4"/>
      <c r="I15" s="4"/>
    </row>
    <row r="16" spans="1:13" ht="14.25" customHeight="1" x14ac:dyDescent="0.3">
      <c r="A16" s="20" t="s">
        <v>52</v>
      </c>
      <c r="B16" s="8">
        <f>B15/(B13+B15)</f>
        <v>0.40067170838480481</v>
      </c>
      <c r="C16" s="8">
        <f>C15/(C13+C15)</f>
        <v>0.38759010382705861</v>
      </c>
      <c r="D16" s="8">
        <f>D15/(D13+D15)</f>
        <v>0.40052755111759475</v>
      </c>
      <c r="E16" s="4"/>
      <c r="F16" s="4"/>
      <c r="G16" s="4"/>
      <c r="H16" s="4"/>
      <c r="I16" s="4"/>
    </row>
    <row r="17" spans="1:16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16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16" ht="14.25" customHeight="1" x14ac:dyDescent="0.3">
      <c r="A19" s="23" t="s">
        <v>44</v>
      </c>
      <c r="B19" s="23" t="s">
        <v>53</v>
      </c>
      <c r="C19" s="23" t="s">
        <v>54</v>
      </c>
      <c r="D19" s="23" t="s">
        <v>55</v>
      </c>
      <c r="E19" s="24"/>
      <c r="F19" s="4"/>
      <c r="G19" s="4"/>
      <c r="H19" s="4"/>
      <c r="I19" s="4"/>
      <c r="J19" s="4"/>
      <c r="K19" s="4"/>
      <c r="L19" s="4"/>
    </row>
    <row r="20" spans="1:16" ht="14.25" customHeight="1" x14ac:dyDescent="0.3">
      <c r="A20" s="25" t="s">
        <v>56</v>
      </c>
      <c r="B20" s="26">
        <v>24811470</v>
      </c>
      <c r="C20" s="27">
        <v>28225916</v>
      </c>
      <c r="D20" s="28">
        <v>0.87903153000000001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4.25" customHeight="1" x14ac:dyDescent="0.3">
      <c r="A21" s="25" t="s">
        <v>57</v>
      </c>
      <c r="B21" s="27">
        <v>26094135</v>
      </c>
      <c r="C21" s="27">
        <v>26962488</v>
      </c>
      <c r="D21" s="28">
        <v>0.96779402999999997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4.25" customHeight="1" x14ac:dyDescent="0.3">
      <c r="A22" s="29" t="s">
        <v>58</v>
      </c>
      <c r="B22" s="26">
        <v>24795010</v>
      </c>
      <c r="C22" s="27">
        <v>28208103</v>
      </c>
      <c r="D22" s="30">
        <v>0.87900310000000004</v>
      </c>
    </row>
    <row r="23" spans="1:16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6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6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6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6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6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6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6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6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6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</sheetData>
  <mergeCells count="1">
    <mergeCell ref="A1:D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"/>
  <sheetViews>
    <sheetView topLeftCell="A53" zoomScaleNormal="100" workbookViewId="0">
      <selection activeCell="K63" sqref="K63"/>
    </sheetView>
  </sheetViews>
  <sheetFormatPr defaultColWidth="8.6640625" defaultRowHeight="14.4" x14ac:dyDescent="0.3"/>
  <cols>
    <col min="1" max="1" width="50" customWidth="1"/>
    <col min="2" max="4" width="16" customWidth="1"/>
  </cols>
  <sheetData>
    <row r="1" spans="1:4" ht="24" customHeight="1" x14ac:dyDescent="0.3">
      <c r="A1" s="44" t="s">
        <v>94</v>
      </c>
      <c r="B1" s="44"/>
      <c r="C1" s="44"/>
      <c r="D1" s="44"/>
    </row>
    <row r="3" spans="1:4" ht="24" customHeight="1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35" t="s">
        <v>118</v>
      </c>
    </row>
    <row r="5" spans="1:4" x14ac:dyDescent="0.3">
      <c r="A5" s="34" t="s">
        <v>95</v>
      </c>
      <c r="B5" s="22">
        <v>1514600</v>
      </c>
      <c r="C5" s="22">
        <v>1612543</v>
      </c>
      <c r="D5" s="22">
        <v>1538680</v>
      </c>
    </row>
    <row r="6" spans="1:4" x14ac:dyDescent="0.3">
      <c r="A6" s="34" t="s">
        <v>96</v>
      </c>
      <c r="B6" s="22">
        <v>11443263</v>
      </c>
      <c r="C6" s="22">
        <v>11359705</v>
      </c>
      <c r="D6" s="22">
        <v>11418129</v>
      </c>
    </row>
    <row r="7" spans="1:4" x14ac:dyDescent="0.3">
      <c r="A7" s="34" t="s">
        <v>97</v>
      </c>
      <c r="B7" s="22">
        <v>13101459</v>
      </c>
      <c r="C7" s="22">
        <v>13378478</v>
      </c>
      <c r="D7" s="22">
        <v>13071221</v>
      </c>
    </row>
    <row r="8" spans="1:4" x14ac:dyDescent="0.3">
      <c r="A8" s="35" t="s">
        <v>98</v>
      </c>
      <c r="B8" s="36">
        <f>SUM(B5:B7)</f>
        <v>26059322</v>
      </c>
      <c r="C8" s="36">
        <f>SUM(C5:C7)</f>
        <v>26350726</v>
      </c>
      <c r="D8" s="36">
        <f>SUM(D5:D7)</f>
        <v>26028030</v>
      </c>
    </row>
    <row r="9" spans="1:4" x14ac:dyDescent="0.3">
      <c r="A9" s="34" t="s">
        <v>99</v>
      </c>
      <c r="B9" s="8">
        <f>B5/B8</f>
        <v>5.8121235847962582E-2</v>
      </c>
      <c r="C9" s="8">
        <f>C5/C8</f>
        <v>6.1195391732280925E-2</v>
      </c>
      <c r="D9" s="8">
        <f>D5/D8</f>
        <v>5.9116268115566181E-2</v>
      </c>
    </row>
    <row r="10" spans="1:4" x14ac:dyDescent="0.3">
      <c r="A10" s="34" t="s">
        <v>88</v>
      </c>
      <c r="B10" s="8">
        <f>B6/B8</f>
        <v>0.43912358886390063</v>
      </c>
      <c r="C10" s="8">
        <f>C6/C8</f>
        <v>0.43109647149759744</v>
      </c>
      <c r="D10" s="8">
        <f>D6/D8</f>
        <v>0.4386858705787568</v>
      </c>
    </row>
    <row r="11" spans="1:4" x14ac:dyDescent="0.3">
      <c r="A11" s="34" t="s">
        <v>86</v>
      </c>
      <c r="B11" s="8">
        <f>B7/B8</f>
        <v>0.50275517528813685</v>
      </c>
      <c r="C11" s="8">
        <f>C7/C8</f>
        <v>0.50770813677012161</v>
      </c>
      <c r="D11" s="8">
        <f>D7/D8</f>
        <v>0.50219786130567701</v>
      </c>
    </row>
    <row r="13" spans="1:4" x14ac:dyDescent="0.3">
      <c r="A13" s="35" t="s">
        <v>100</v>
      </c>
    </row>
    <row r="14" spans="1:4" x14ac:dyDescent="0.3">
      <c r="A14" s="34" t="s">
        <v>101</v>
      </c>
      <c r="B14" s="22">
        <v>291175</v>
      </c>
      <c r="C14" s="22">
        <v>39717</v>
      </c>
      <c r="D14" s="22">
        <v>256954</v>
      </c>
    </row>
    <row r="15" spans="1:4" x14ac:dyDescent="0.3">
      <c r="A15" s="34" t="s">
        <v>102</v>
      </c>
      <c r="B15" s="22">
        <v>438406</v>
      </c>
      <c r="C15" s="22">
        <v>0</v>
      </c>
      <c r="D15" s="22">
        <v>434603</v>
      </c>
    </row>
    <row r="16" spans="1:4" x14ac:dyDescent="0.3">
      <c r="A16" s="34" t="s">
        <v>103</v>
      </c>
      <c r="B16" s="22">
        <v>0</v>
      </c>
      <c r="C16" s="22">
        <v>1594</v>
      </c>
      <c r="D16" s="22">
        <v>0</v>
      </c>
    </row>
    <row r="17" spans="1:5" x14ac:dyDescent="0.3">
      <c r="A17" s="34" t="s">
        <v>104</v>
      </c>
      <c r="B17" s="22">
        <v>0</v>
      </c>
      <c r="C17" s="22">
        <v>0</v>
      </c>
      <c r="D17" s="22">
        <v>1</v>
      </c>
    </row>
    <row r="18" spans="1:5" x14ac:dyDescent="0.3">
      <c r="A18" s="35" t="s">
        <v>105</v>
      </c>
      <c r="B18" s="36">
        <f>SUM(B14:B17)</f>
        <v>729581</v>
      </c>
      <c r="C18" s="36">
        <f>SUM(C14:C17)</f>
        <v>41311</v>
      </c>
      <c r="D18" s="36">
        <f>SUM(D14:D17)</f>
        <v>691558</v>
      </c>
    </row>
    <row r="19" spans="1:5" x14ac:dyDescent="0.3">
      <c r="A19" s="34" t="s">
        <v>106</v>
      </c>
      <c r="B19" s="22">
        <v>26788903</v>
      </c>
      <c r="C19" s="22">
        <v>26392037</v>
      </c>
      <c r="D19" s="22">
        <v>26719588</v>
      </c>
    </row>
    <row r="20" spans="1:5" x14ac:dyDescent="0.3">
      <c r="A20" s="34" t="s">
        <v>107</v>
      </c>
      <c r="B20" s="22">
        <f>B8+B18-B19</f>
        <v>0</v>
      </c>
      <c r="C20" s="22">
        <f>C8+C18-C19</f>
        <v>0</v>
      </c>
      <c r="D20" s="22">
        <f>D8+D18-D19</f>
        <v>0</v>
      </c>
    </row>
    <row r="22" spans="1:5" x14ac:dyDescent="0.3">
      <c r="A22" s="35" t="s">
        <v>62</v>
      </c>
    </row>
    <row r="23" spans="1:5" x14ac:dyDescent="0.3">
      <c r="A23" s="34" t="s">
        <v>108</v>
      </c>
      <c r="B23" s="22">
        <v>1419634</v>
      </c>
      <c r="C23" s="22">
        <v>1518980</v>
      </c>
      <c r="D23" s="22">
        <v>1438266</v>
      </c>
    </row>
    <row r="24" spans="1:5" x14ac:dyDescent="0.3">
      <c r="A24" s="34" t="s">
        <v>109</v>
      </c>
      <c r="B24" s="22">
        <v>10610872</v>
      </c>
      <c r="C24" s="22">
        <v>10510895</v>
      </c>
      <c r="D24" s="22">
        <v>10585522</v>
      </c>
    </row>
    <row r="25" spans="1:5" x14ac:dyDescent="0.3">
      <c r="A25" s="34" t="s">
        <v>110</v>
      </c>
      <c r="B25" s="22">
        <v>12980228</v>
      </c>
      <c r="C25" s="22">
        <v>13249189</v>
      </c>
      <c r="D25" s="22">
        <v>12949853</v>
      </c>
    </row>
    <row r="26" spans="1:5" x14ac:dyDescent="0.3">
      <c r="A26" s="35" t="s">
        <v>111</v>
      </c>
      <c r="B26" s="36">
        <f>SUM(B23:B25)</f>
        <v>25010734</v>
      </c>
      <c r="C26" s="36">
        <f>SUM(C23:C25)</f>
        <v>25279064</v>
      </c>
      <c r="D26" s="36">
        <f>SUM(D23:D25)</f>
        <v>24973641</v>
      </c>
    </row>
    <row r="27" spans="1:5" x14ac:dyDescent="0.3">
      <c r="A27" s="34" t="s">
        <v>99</v>
      </c>
      <c r="B27" s="8">
        <f>B23/B26</f>
        <v>5.6760989101719284E-2</v>
      </c>
      <c r="C27" s="8">
        <f>C23/C26</f>
        <v>6.0088458971423939E-2</v>
      </c>
      <c r="D27" s="8">
        <f>D23/D26</f>
        <v>5.7591362028468339E-2</v>
      </c>
    </row>
    <row r="28" spans="1:5" x14ac:dyDescent="0.3">
      <c r="A28" s="34" t="s">
        <v>88</v>
      </c>
      <c r="B28" s="8">
        <f>B24/B26</f>
        <v>0.42425272285091675</v>
      </c>
      <c r="C28" s="8">
        <f>C24/C26</f>
        <v>0.41579446928889457</v>
      </c>
      <c r="D28" s="8">
        <f>D24/D26</f>
        <v>0.42386778924226548</v>
      </c>
      <c r="E28" s="43"/>
    </row>
    <row r="29" spans="1:5" x14ac:dyDescent="0.3">
      <c r="A29" s="34" t="s">
        <v>86</v>
      </c>
      <c r="B29" s="8">
        <f>B25/B26</f>
        <v>0.51898628804736402</v>
      </c>
      <c r="C29" s="8">
        <f>C25/C26</f>
        <v>0.52411707173968147</v>
      </c>
      <c r="D29" s="8">
        <f>D25/D26</f>
        <v>0.5185408487292662</v>
      </c>
    </row>
    <row r="31" spans="1:5" x14ac:dyDescent="0.3">
      <c r="A31" s="35" t="s">
        <v>61</v>
      </c>
    </row>
    <row r="32" spans="1:5" x14ac:dyDescent="0.3">
      <c r="A32" s="34" t="s">
        <v>108</v>
      </c>
      <c r="B32" s="22">
        <v>45241</v>
      </c>
      <c r="C32" s="22">
        <v>76585</v>
      </c>
      <c r="D32" s="22">
        <v>42996</v>
      </c>
    </row>
    <row r="33" spans="1:4" x14ac:dyDescent="0.3">
      <c r="A33" s="34" t="s">
        <v>109</v>
      </c>
      <c r="B33" s="22">
        <v>412628</v>
      </c>
      <c r="C33" s="22">
        <v>344089</v>
      </c>
      <c r="D33" s="22">
        <v>408852</v>
      </c>
    </row>
    <row r="34" spans="1:4" x14ac:dyDescent="0.3">
      <c r="A34" s="34" t="s">
        <v>110</v>
      </c>
      <c r="B34" s="22">
        <v>5922079</v>
      </c>
      <c r="C34" s="22">
        <v>5910792</v>
      </c>
      <c r="D34" s="22">
        <v>5898528</v>
      </c>
    </row>
    <row r="35" spans="1:4" x14ac:dyDescent="0.3">
      <c r="A35" s="35" t="s">
        <v>111</v>
      </c>
      <c r="B35" s="36">
        <f>SUM(B32:B34)</f>
        <v>6379948</v>
      </c>
      <c r="C35" s="36">
        <f>SUM(C32:C34)</f>
        <v>6331466</v>
      </c>
      <c r="D35" s="36">
        <f>SUM(D32:D34)</f>
        <v>6350376</v>
      </c>
    </row>
    <row r="36" spans="1:4" x14ac:dyDescent="0.3">
      <c r="A36" s="34" t="s">
        <v>99</v>
      </c>
      <c r="B36" s="8">
        <f>B32/B35</f>
        <v>7.091123626712945E-3</v>
      </c>
      <c r="C36" s="8">
        <f>C32/C35</f>
        <v>1.2095934811937709E-2</v>
      </c>
      <c r="D36" s="8">
        <f>D32/D35</f>
        <v>6.7706227158832802E-3</v>
      </c>
    </row>
    <row r="37" spans="1:4" x14ac:dyDescent="0.3">
      <c r="A37" s="34" t="s">
        <v>88</v>
      </c>
      <c r="B37" s="8">
        <f>B33/B35</f>
        <v>6.4675762247591986E-2</v>
      </c>
      <c r="C37" s="8">
        <f>C33/C35</f>
        <v>5.4345865554675646E-2</v>
      </c>
      <c r="D37" s="8">
        <f>D33/D35</f>
        <v>6.4382329487261858E-2</v>
      </c>
    </row>
    <row r="38" spans="1:4" x14ac:dyDescent="0.3">
      <c r="A38" s="34" t="s">
        <v>86</v>
      </c>
      <c r="B38" s="8">
        <f>B34/B35</f>
        <v>0.92823311412569509</v>
      </c>
      <c r="C38" s="8">
        <f>C34/C35</f>
        <v>0.9335581996333866</v>
      </c>
      <c r="D38" s="8">
        <f>D34/D35</f>
        <v>0.9288470477968549</v>
      </c>
    </row>
    <row r="40" spans="1:4" x14ac:dyDescent="0.3">
      <c r="A40" s="35" t="s">
        <v>60</v>
      </c>
    </row>
    <row r="41" spans="1:4" x14ac:dyDescent="0.3">
      <c r="A41" s="34" t="s">
        <v>108</v>
      </c>
      <c r="B41" s="22">
        <v>161364</v>
      </c>
      <c r="C41" s="22">
        <v>199409</v>
      </c>
      <c r="D41" s="22">
        <v>159547</v>
      </c>
    </row>
    <row r="42" spans="1:4" x14ac:dyDescent="0.3">
      <c r="A42" s="34" t="s">
        <v>109</v>
      </c>
      <c r="B42" s="22">
        <v>1994472</v>
      </c>
      <c r="C42" s="22">
        <v>1938876</v>
      </c>
      <c r="D42" s="22">
        <v>1986334</v>
      </c>
    </row>
    <row r="43" spans="1:4" x14ac:dyDescent="0.3">
      <c r="A43" s="34" t="s">
        <v>110</v>
      </c>
      <c r="B43" s="22">
        <v>7915319</v>
      </c>
      <c r="C43" s="22">
        <v>7967949</v>
      </c>
      <c r="D43" s="22">
        <v>7890038</v>
      </c>
    </row>
    <row r="44" spans="1:4" x14ac:dyDescent="0.3">
      <c r="A44" s="35" t="s">
        <v>111</v>
      </c>
      <c r="B44" s="36">
        <f>SUM(B41:B43)</f>
        <v>10071155</v>
      </c>
      <c r="C44" s="36">
        <f>SUM(C41:C43)</f>
        <v>10106234</v>
      </c>
      <c r="D44" s="36">
        <f>SUM(D41:D43)</f>
        <v>10035919</v>
      </c>
    </row>
    <row r="45" spans="1:4" x14ac:dyDescent="0.3">
      <c r="A45" s="34" t="s">
        <v>99</v>
      </c>
      <c r="B45" s="8">
        <f>B41/B44</f>
        <v>1.6022392664992249E-2</v>
      </c>
      <c r="C45" s="8">
        <f>C41/C44</f>
        <v>1.9731286649408673E-2</v>
      </c>
      <c r="D45" s="8">
        <f>D41/D44</f>
        <v>1.5897597419827721E-2</v>
      </c>
    </row>
    <row r="46" spans="1:4" x14ac:dyDescent="0.3">
      <c r="A46" s="34" t="s">
        <v>88</v>
      </c>
      <c r="B46" s="8">
        <f>B42/B44</f>
        <v>0.19803806018276951</v>
      </c>
      <c r="C46" s="8">
        <f>C42/C44</f>
        <v>0.19184950595840153</v>
      </c>
      <c r="D46" s="8">
        <f>D42/D44</f>
        <v>0.1979224822360563</v>
      </c>
    </row>
    <row r="47" spans="1:4" x14ac:dyDescent="0.3">
      <c r="A47" s="34" t="s">
        <v>86</v>
      </c>
      <c r="B47" s="8">
        <f>B43/B44</f>
        <v>0.78593954715223824</v>
      </c>
      <c r="C47" s="8">
        <f>C43/C44</f>
        <v>0.78841920739218985</v>
      </c>
      <c r="D47" s="8">
        <f>D43/D44</f>
        <v>0.78617992034411599</v>
      </c>
    </row>
    <row r="49" spans="1:4" x14ac:dyDescent="0.3">
      <c r="A49" s="35" t="s">
        <v>112</v>
      </c>
    </row>
    <row r="50" spans="1:4" x14ac:dyDescent="0.3">
      <c r="A50" s="34" t="s">
        <v>113</v>
      </c>
      <c r="B50" s="22">
        <v>8318307</v>
      </c>
      <c r="C50" s="22">
        <v>8548116</v>
      </c>
      <c r="D50" s="22">
        <v>8349148</v>
      </c>
    </row>
    <row r="51" spans="1:4" x14ac:dyDescent="0.3">
      <c r="A51" s="34" t="s">
        <v>114</v>
      </c>
      <c r="B51" s="22">
        <v>3299414</v>
      </c>
      <c r="C51" s="22">
        <v>3366387</v>
      </c>
      <c r="D51" s="22">
        <v>3291613</v>
      </c>
    </row>
    <row r="52" spans="1:4" x14ac:dyDescent="0.3">
      <c r="A52" s="34" t="s">
        <v>115</v>
      </c>
      <c r="B52" s="22">
        <v>14441601</v>
      </c>
      <c r="C52" s="22">
        <v>14436223</v>
      </c>
      <c r="D52" s="22">
        <v>14387269</v>
      </c>
    </row>
    <row r="53" spans="1:4" x14ac:dyDescent="0.3">
      <c r="A53" s="35" t="s">
        <v>116</v>
      </c>
      <c r="B53" s="36">
        <f>SUM(B50:B52)</f>
        <v>26059322</v>
      </c>
      <c r="C53" s="36">
        <f>SUM(C50:C52)</f>
        <v>26350726</v>
      </c>
      <c r="D53" s="36">
        <f>SUM(D50:D52)</f>
        <v>26028030</v>
      </c>
    </row>
    <row r="54" spans="1:4" x14ac:dyDescent="0.3">
      <c r="A54" s="34" t="s">
        <v>117</v>
      </c>
      <c r="B54" s="8">
        <f>B50/B53</f>
        <v>0.31920657797620366</v>
      </c>
      <c r="C54" s="8">
        <f>C50/C53</f>
        <v>0.32439774145122224</v>
      </c>
      <c r="D54" s="8">
        <f>D50/D53</f>
        <v>0.320775256521527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zoomScaleNormal="100" workbookViewId="0">
      <selection activeCell="B21" sqref="B21"/>
    </sheetView>
  </sheetViews>
  <sheetFormatPr defaultColWidth="8.6640625" defaultRowHeight="14.4" x14ac:dyDescent="0.3"/>
  <cols>
    <col min="1" max="1" width="46" customWidth="1"/>
    <col min="2" max="4" width="16" customWidth="1"/>
  </cols>
  <sheetData>
    <row r="1" spans="1:4" ht="24" customHeight="1" x14ac:dyDescent="0.3">
      <c r="A1" s="44" t="s">
        <v>77</v>
      </c>
      <c r="B1" s="44"/>
      <c r="C1" s="44"/>
      <c r="D1" s="44"/>
    </row>
    <row r="3" spans="1:4" ht="24" customHeight="1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ht="15" customHeight="1" x14ac:dyDescent="0.3">
      <c r="A4" s="34" t="s">
        <v>78</v>
      </c>
      <c r="B4" s="22">
        <v>11584295</v>
      </c>
      <c r="C4" s="22">
        <v>11564214</v>
      </c>
      <c r="D4" s="22">
        <v>11708766</v>
      </c>
    </row>
    <row r="5" spans="1:4" ht="15" customHeight="1" x14ac:dyDescent="0.3">
      <c r="A5" s="34" t="s">
        <v>79</v>
      </c>
      <c r="B5" s="22">
        <v>6734417</v>
      </c>
      <c r="C5" s="22">
        <v>6441887</v>
      </c>
      <c r="D5" s="22">
        <v>6569340</v>
      </c>
    </row>
    <row r="6" spans="1:4" ht="15" customHeight="1" x14ac:dyDescent="0.3">
      <c r="A6" s="34" t="s">
        <v>80</v>
      </c>
      <c r="B6" s="22">
        <v>8470191</v>
      </c>
      <c r="C6" s="22">
        <v>8486755</v>
      </c>
      <c r="D6" s="22">
        <v>8441481</v>
      </c>
    </row>
    <row r="7" spans="1:4" ht="15" customHeight="1" x14ac:dyDescent="0.3">
      <c r="A7" s="34" t="s">
        <v>81</v>
      </c>
      <c r="B7" s="22">
        <v>0</v>
      </c>
      <c r="C7" s="22">
        <v>0</v>
      </c>
      <c r="D7" s="22">
        <v>1</v>
      </c>
    </row>
    <row r="8" spans="1:4" ht="15" customHeight="1" x14ac:dyDescent="0.3">
      <c r="A8" s="35" t="s">
        <v>82</v>
      </c>
      <c r="B8" s="36">
        <f>SUM(B4:B7)</f>
        <v>26788903</v>
      </c>
      <c r="C8" s="36">
        <f>SUM(C4:C7)</f>
        <v>26492856</v>
      </c>
      <c r="D8" s="36">
        <f>SUM(D4:D7)</f>
        <v>26719588</v>
      </c>
    </row>
    <row r="9" spans="1:4" ht="15" customHeight="1" x14ac:dyDescent="0.3">
      <c r="A9" s="34" t="s">
        <v>83</v>
      </c>
      <c r="B9" s="22">
        <f>'Variant Counts'!B4</f>
        <v>24097372</v>
      </c>
      <c r="C9" s="22">
        <f>'Variant Counts'!C4</f>
        <v>24008026</v>
      </c>
      <c r="D9" s="22">
        <f>'Variant Counts'!D4</f>
        <v>24031511</v>
      </c>
    </row>
    <row r="10" spans="1:4" ht="15" customHeight="1" x14ac:dyDescent="0.3">
      <c r="A10" s="34" t="s">
        <v>84</v>
      </c>
      <c r="B10" s="22">
        <f>B8-B9</f>
        <v>2691531</v>
      </c>
      <c r="C10" s="22">
        <f>C8-C9</f>
        <v>2484830</v>
      </c>
      <c r="D10" s="22">
        <f>D8-D9</f>
        <v>2688077</v>
      </c>
    </row>
    <row r="11" spans="1:4" ht="15" customHeight="1" x14ac:dyDescent="0.3">
      <c r="A11" s="34" t="s">
        <v>85</v>
      </c>
      <c r="B11" s="22">
        <f>'Variant Counts'!B8</f>
        <v>1382916</v>
      </c>
      <c r="C11" s="22">
        <f>'Variant Counts'!C8</f>
        <v>1066391</v>
      </c>
      <c r="D11" s="22">
        <f>'Variant Counts'!D8</f>
        <v>1373812</v>
      </c>
    </row>
    <row r="12" spans="1:4" ht="15" customHeight="1" x14ac:dyDescent="0.3">
      <c r="A12" s="34" t="s">
        <v>86</v>
      </c>
      <c r="B12" s="37">
        <f>B4/B8</f>
        <v>0.43242886802792935</v>
      </c>
      <c r="C12" s="37">
        <f>C4/C8</f>
        <v>0.43650310861161967</v>
      </c>
      <c r="D12" s="37">
        <f>D4/D8</f>
        <v>0.43820907717589058</v>
      </c>
    </row>
    <row r="13" spans="1:4" ht="15" customHeight="1" x14ac:dyDescent="0.3">
      <c r="A13" s="34" t="s">
        <v>87</v>
      </c>
      <c r="B13" s="37">
        <f>B5/B8</f>
        <v>0.25138830806173734</v>
      </c>
      <c r="C13" s="37">
        <f>C5/C8</f>
        <v>0.24315562655834463</v>
      </c>
      <c r="D13" s="37">
        <f>D5/D8</f>
        <v>0.24586232392505453</v>
      </c>
    </row>
    <row r="14" spans="1:4" ht="15" customHeight="1" x14ac:dyDescent="0.3">
      <c r="A14" s="34" t="s">
        <v>88</v>
      </c>
      <c r="B14" s="37">
        <f>B6/B8</f>
        <v>0.31618282391033331</v>
      </c>
      <c r="C14" s="37">
        <f>C6/C8</f>
        <v>0.32034126483003567</v>
      </c>
      <c r="D14" s="37">
        <f>D6/D8</f>
        <v>0.3159285614733281</v>
      </c>
    </row>
    <row r="15" spans="1:4" ht="15" customHeight="1" x14ac:dyDescent="0.3">
      <c r="A15" s="34" t="s">
        <v>89</v>
      </c>
      <c r="B15" s="38">
        <f>B7/B8</f>
        <v>0</v>
      </c>
      <c r="C15" s="38">
        <f>C7/C8</f>
        <v>0</v>
      </c>
      <c r="D15" s="38">
        <f>D7/D8</f>
        <v>3.7425726773930794E-8</v>
      </c>
    </row>
    <row r="16" spans="1:4" ht="15" customHeight="1" x14ac:dyDescent="0.3">
      <c r="A16" s="34" t="s">
        <v>90</v>
      </c>
      <c r="B16" s="22">
        <v>20725809</v>
      </c>
      <c r="C16" s="22">
        <v>21055835</v>
      </c>
      <c r="D16" s="22">
        <v>20684958</v>
      </c>
    </row>
    <row r="17" spans="1:4" ht="15" customHeight="1" x14ac:dyDescent="0.3">
      <c r="A17" s="34" t="s">
        <v>91</v>
      </c>
      <c r="B17" s="22">
        <v>5613978</v>
      </c>
      <c r="C17" s="22">
        <v>5435123</v>
      </c>
      <c r="D17" s="22">
        <v>5590851</v>
      </c>
    </row>
    <row r="18" spans="1:4" ht="15" customHeight="1" x14ac:dyDescent="0.3">
      <c r="A18" s="34" t="s">
        <v>92</v>
      </c>
      <c r="B18" s="22">
        <v>449116</v>
      </c>
      <c r="C18" s="22">
        <v>0</v>
      </c>
      <c r="D18" s="22">
        <v>443779</v>
      </c>
    </row>
    <row r="19" spans="1:4" ht="15" customHeight="1" x14ac:dyDescent="0.3">
      <c r="A19" s="34" t="s">
        <v>93</v>
      </c>
      <c r="B19" s="22">
        <v>0</v>
      </c>
      <c r="C19" s="22">
        <v>1898</v>
      </c>
      <c r="D19" s="22"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28" customWidth="1"/>
    <col min="2" max="4" width="17" customWidth="1"/>
  </cols>
  <sheetData>
    <row r="1" spans="1:4" ht="19.5" customHeight="1" x14ac:dyDescent="0.3">
      <c r="A1" s="48" t="s">
        <v>59</v>
      </c>
      <c r="B1" s="48"/>
      <c r="C1" s="48"/>
      <c r="D1" s="48"/>
    </row>
    <row r="3" spans="1:4" ht="15" customHeight="1" x14ac:dyDescent="0.3">
      <c r="A3" s="2" t="s">
        <v>1</v>
      </c>
      <c r="B3" s="2" t="s">
        <v>60</v>
      </c>
      <c r="C3" s="2" t="s">
        <v>61</v>
      </c>
      <c r="D3" s="2" t="s">
        <v>62</v>
      </c>
    </row>
    <row r="4" spans="1:4" ht="15" customHeight="1" x14ac:dyDescent="0.3">
      <c r="A4" t="s">
        <v>20</v>
      </c>
      <c r="B4" s="31">
        <v>3</v>
      </c>
      <c r="C4" s="31">
        <v>2</v>
      </c>
      <c r="D4" s="31">
        <v>39</v>
      </c>
    </row>
    <row r="5" spans="1:4" ht="15" customHeight="1" x14ac:dyDescent="0.3">
      <c r="A5" t="s">
        <v>25</v>
      </c>
      <c r="B5" s="22">
        <v>24008026</v>
      </c>
      <c r="C5" s="22">
        <v>24008026</v>
      </c>
      <c r="D5" s="22">
        <v>24008026</v>
      </c>
    </row>
    <row r="6" spans="1:4" ht="15" customHeight="1" x14ac:dyDescent="0.3">
      <c r="A6" t="s">
        <v>26</v>
      </c>
      <c r="B6" s="22">
        <v>20967444</v>
      </c>
      <c r="C6" s="22">
        <v>20967444</v>
      </c>
      <c r="D6" s="22">
        <v>20967444</v>
      </c>
    </row>
    <row r="7" spans="1:4" ht="15" customHeight="1" x14ac:dyDescent="0.3">
      <c r="A7" t="s">
        <v>63</v>
      </c>
      <c r="B7" s="22">
        <v>3281708</v>
      </c>
      <c r="C7" s="22">
        <v>3281708</v>
      </c>
      <c r="D7" s="22">
        <v>3281708</v>
      </c>
    </row>
    <row r="8" spans="1:4" ht="15" customHeight="1" x14ac:dyDescent="0.3">
      <c r="A8" t="s">
        <v>28</v>
      </c>
      <c r="B8" s="14">
        <f>IFERROR(B6/B7,"")</f>
        <v>6.3891863627111247</v>
      </c>
      <c r="C8" s="14">
        <f>IFERROR(C6/C7,"")</f>
        <v>6.3891863627111247</v>
      </c>
      <c r="D8" s="14">
        <f>IFERROR(D6/D7,"")</f>
        <v>6.3891863627111247</v>
      </c>
    </row>
    <row r="9" spans="1:4" ht="15" customHeight="1" x14ac:dyDescent="0.3">
      <c r="A9" t="s">
        <v>64</v>
      </c>
      <c r="B9" s="22">
        <v>1066391</v>
      </c>
      <c r="C9" s="22">
        <v>1066391</v>
      </c>
      <c r="D9" s="22">
        <v>1066391</v>
      </c>
    </row>
    <row r="10" spans="1:4" ht="15" customHeight="1" x14ac:dyDescent="0.3">
      <c r="A10" t="s">
        <v>37</v>
      </c>
      <c r="B10" s="8">
        <f>IFERROR(B9/B5,"")</f>
        <v>4.4418104178994139E-2</v>
      </c>
      <c r="C10" s="8">
        <f>IFERROR(C9/C5,"")</f>
        <v>4.4418104178994139E-2</v>
      </c>
      <c r="D10" s="8">
        <f>IFERROR(D9/D5,"")</f>
        <v>4.4418104178994139E-2</v>
      </c>
    </row>
    <row r="11" spans="1:4" ht="15" customHeight="1" x14ac:dyDescent="0.3">
      <c r="A11" t="s">
        <v>65</v>
      </c>
      <c r="B11" s="22">
        <v>22941635</v>
      </c>
      <c r="C11" s="22">
        <v>22941635</v>
      </c>
      <c r="D11" s="22">
        <v>22941635</v>
      </c>
    </row>
    <row r="12" spans="1:4" ht="15" customHeight="1" x14ac:dyDescent="0.3">
      <c r="A12" t="s">
        <v>66</v>
      </c>
      <c r="B12" s="14">
        <v>2.04</v>
      </c>
      <c r="C12" s="14">
        <v>2.04</v>
      </c>
      <c r="D12" s="14">
        <v>2.04</v>
      </c>
    </row>
    <row r="13" spans="1:4" ht="15" customHeight="1" x14ac:dyDescent="0.3">
      <c r="A13" t="s">
        <v>67</v>
      </c>
      <c r="B13" s="22">
        <f>SUM(B14:B18)</f>
        <v>72024078</v>
      </c>
      <c r="C13" s="22">
        <f>SUM(C14:C18)</f>
        <v>48016052</v>
      </c>
      <c r="D13" s="22">
        <f>SUM(D14:D18)</f>
        <v>936313014</v>
      </c>
    </row>
    <row r="14" spans="1:4" ht="15" customHeight="1" x14ac:dyDescent="0.3">
      <c r="A14" t="s">
        <v>68</v>
      </c>
      <c r="B14" s="22">
        <v>1270676</v>
      </c>
      <c r="C14" s="22">
        <v>799582</v>
      </c>
      <c r="D14" s="22">
        <v>16400614</v>
      </c>
    </row>
    <row r="15" spans="1:4" ht="15" customHeight="1" x14ac:dyDescent="0.3">
      <c r="A15" t="s">
        <v>69</v>
      </c>
      <c r="B15" s="22">
        <v>53755678</v>
      </c>
      <c r="C15" s="22">
        <v>38075933</v>
      </c>
      <c r="D15" s="22">
        <v>714273212</v>
      </c>
    </row>
    <row r="16" spans="1:4" ht="15" customHeight="1" x14ac:dyDescent="0.3">
      <c r="A16" t="s">
        <v>70</v>
      </c>
      <c r="B16" s="22">
        <v>11198249</v>
      </c>
      <c r="C16" s="22">
        <v>5563801</v>
      </c>
      <c r="D16" s="22">
        <v>136482836</v>
      </c>
    </row>
    <row r="17" spans="1:4" ht="15" customHeight="1" x14ac:dyDescent="0.3">
      <c r="A17" t="s">
        <v>71</v>
      </c>
      <c r="B17" s="22">
        <v>5698705</v>
      </c>
      <c r="C17" s="22">
        <v>3530866</v>
      </c>
      <c r="D17" s="22">
        <v>68017925</v>
      </c>
    </row>
    <row r="18" spans="1:4" ht="15" customHeight="1" x14ac:dyDescent="0.3">
      <c r="A18" t="s">
        <v>72</v>
      </c>
      <c r="B18" s="22">
        <v>100770</v>
      </c>
      <c r="C18" s="22">
        <v>45870</v>
      </c>
      <c r="D18" s="22">
        <v>1138427</v>
      </c>
    </row>
    <row r="19" spans="1:4" ht="15" customHeight="1" x14ac:dyDescent="0.3">
      <c r="A19" t="s">
        <v>73</v>
      </c>
      <c r="B19" s="8">
        <f>B14/B13</f>
        <v>1.7642377872577556E-2</v>
      </c>
      <c r="C19" s="8">
        <f>C14/C13</f>
        <v>1.6652389496745797E-2</v>
      </c>
      <c r="D19" s="8">
        <f>D14/D13</f>
        <v>1.7516165806491717E-2</v>
      </c>
    </row>
    <row r="20" spans="1:4" ht="15" customHeight="1" x14ac:dyDescent="0.3">
      <c r="A20" t="s">
        <v>74</v>
      </c>
      <c r="B20" s="32">
        <f>B16/B17</f>
        <v>1.9650515336379055</v>
      </c>
      <c r="C20" s="32">
        <f>C16/C17</f>
        <v>1.5757610172688514</v>
      </c>
      <c r="D20" s="32">
        <f>D16/D17</f>
        <v>2.0065715912386333</v>
      </c>
    </row>
    <row r="22" spans="1:4" ht="15" customHeight="1" x14ac:dyDescent="0.3">
      <c r="A22" s="13"/>
      <c r="B22" s="13"/>
      <c r="C22" s="13"/>
      <c r="D22" s="13"/>
    </row>
    <row r="23" spans="1:4" ht="15" customHeight="1" x14ac:dyDescent="0.3">
      <c r="A23" s="13"/>
      <c r="B23" s="13"/>
      <c r="C23" s="13"/>
      <c r="D23" s="13"/>
    </row>
    <row r="24" spans="1:4" ht="15" customHeight="1" x14ac:dyDescent="0.3">
      <c r="A24" s="13"/>
      <c r="B24" s="13"/>
      <c r="C24" s="13"/>
      <c r="D24" s="13"/>
    </row>
    <row r="25" spans="1:4" ht="15" customHeight="1" x14ac:dyDescent="0.3">
      <c r="A25" s="13"/>
      <c r="B25" s="13"/>
      <c r="C25" s="13"/>
      <c r="D25" s="1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zoomScaleNormal="100" workbookViewId="0">
      <selection activeCell="B19" sqref="B19"/>
    </sheetView>
  </sheetViews>
  <sheetFormatPr defaultColWidth="8.6640625" defaultRowHeight="14.4" x14ac:dyDescent="0.3"/>
  <cols>
    <col min="1" max="1" width="28" customWidth="1"/>
    <col min="2" max="4" width="17" customWidth="1"/>
  </cols>
  <sheetData>
    <row r="1" spans="1:4" ht="19.5" customHeight="1" x14ac:dyDescent="0.3">
      <c r="A1" s="48" t="s">
        <v>75</v>
      </c>
      <c r="B1" s="48"/>
      <c r="C1" s="48"/>
      <c r="D1" s="48"/>
    </row>
    <row r="3" spans="1:4" ht="15" customHeight="1" x14ac:dyDescent="0.3">
      <c r="A3" s="2" t="s">
        <v>1</v>
      </c>
      <c r="B3" s="2" t="s">
        <v>60</v>
      </c>
      <c r="C3" s="2" t="s">
        <v>61</v>
      </c>
      <c r="D3" s="2" t="s">
        <v>62</v>
      </c>
    </row>
    <row r="4" spans="1:4" ht="15" customHeight="1" x14ac:dyDescent="0.3">
      <c r="A4" t="s">
        <v>20</v>
      </c>
      <c r="B4" s="31">
        <v>3</v>
      </c>
      <c r="C4" s="31">
        <v>2</v>
      </c>
      <c r="D4" s="31">
        <v>39</v>
      </c>
    </row>
    <row r="5" spans="1:4" ht="15" customHeight="1" x14ac:dyDescent="0.3">
      <c r="A5" t="s">
        <v>25</v>
      </c>
      <c r="B5" s="22">
        <v>24097372</v>
      </c>
      <c r="C5" s="22">
        <v>24097372</v>
      </c>
      <c r="D5" s="22">
        <v>24097372</v>
      </c>
    </row>
    <row r="6" spans="1:4" ht="15" customHeight="1" x14ac:dyDescent="0.3">
      <c r="A6" t="s">
        <v>26</v>
      </c>
      <c r="B6" s="22">
        <v>20635443</v>
      </c>
      <c r="C6" s="22">
        <v>20635443</v>
      </c>
      <c r="D6" s="22">
        <v>20635443</v>
      </c>
    </row>
    <row r="7" spans="1:4" ht="15" customHeight="1" x14ac:dyDescent="0.3">
      <c r="A7" t="s">
        <v>63</v>
      </c>
      <c r="B7" s="22">
        <v>3461929</v>
      </c>
      <c r="C7" s="22">
        <v>3461929</v>
      </c>
      <c r="D7" s="22">
        <v>3461929</v>
      </c>
    </row>
    <row r="8" spans="1:4" ht="15" customHeight="1" x14ac:dyDescent="0.3">
      <c r="A8" t="s">
        <v>28</v>
      </c>
      <c r="B8" s="14">
        <f>IFERROR(B6/B7,"")</f>
        <v>5.9606777030955866</v>
      </c>
      <c r="C8" s="14">
        <f>IFERROR(C6/C7,"")</f>
        <v>5.9606777030955866</v>
      </c>
      <c r="D8" s="14">
        <f>IFERROR(D6/D7,"")</f>
        <v>5.9606777030955866</v>
      </c>
    </row>
    <row r="9" spans="1:4" ht="15" customHeight="1" x14ac:dyDescent="0.3">
      <c r="A9" t="s">
        <v>64</v>
      </c>
      <c r="B9" s="22">
        <v>1382916</v>
      </c>
      <c r="C9" s="22">
        <v>1382916</v>
      </c>
      <c r="D9" s="22">
        <v>1382916</v>
      </c>
    </row>
    <row r="10" spans="1:4" ht="15" customHeight="1" x14ac:dyDescent="0.3">
      <c r="A10" t="s">
        <v>37</v>
      </c>
      <c r="B10" s="8">
        <f>IFERROR(B9/B5,"")</f>
        <v>5.7388664622847668E-2</v>
      </c>
      <c r="C10" s="8">
        <f>IFERROR(C9/C5,"")</f>
        <v>5.7388664622847668E-2</v>
      </c>
      <c r="D10" s="8">
        <f>IFERROR(D9/D5,"")</f>
        <v>5.7388664622847668E-2</v>
      </c>
    </row>
    <row r="11" spans="1:4" ht="15" customHeight="1" x14ac:dyDescent="0.3">
      <c r="A11" t="s">
        <v>65</v>
      </c>
      <c r="B11" s="22">
        <v>22714456</v>
      </c>
      <c r="C11" s="22">
        <v>22714456</v>
      </c>
      <c r="D11" s="22">
        <v>22714456</v>
      </c>
    </row>
    <row r="12" spans="1:4" ht="15" customHeight="1" x14ac:dyDescent="0.3">
      <c r="A12" t="s">
        <v>66</v>
      </c>
      <c r="B12" s="14">
        <v>2.0499999999999998</v>
      </c>
      <c r="C12" s="14">
        <v>2.0499999999999998</v>
      </c>
      <c r="D12" s="14">
        <v>2.0499999999999998</v>
      </c>
    </row>
    <row r="13" spans="1:4" ht="15" customHeight="1" x14ac:dyDescent="0.3">
      <c r="A13" t="s">
        <v>67</v>
      </c>
      <c r="B13" s="22">
        <f>SUM(B14:B18)</f>
        <v>72292116</v>
      </c>
      <c r="C13" s="22">
        <f>SUM(C14:C18)</f>
        <v>48194744</v>
      </c>
      <c r="D13" s="22">
        <f>SUM(D14:D18)</f>
        <v>939797508</v>
      </c>
    </row>
    <row r="14" spans="1:4" ht="15" customHeight="1" x14ac:dyDescent="0.3">
      <c r="A14" t="s">
        <v>68</v>
      </c>
      <c r="B14" s="22">
        <v>665</v>
      </c>
      <c r="C14" s="22">
        <v>291</v>
      </c>
      <c r="D14" s="22">
        <v>7169</v>
      </c>
    </row>
    <row r="15" spans="1:4" ht="15" customHeight="1" x14ac:dyDescent="0.3">
      <c r="A15" t="s">
        <v>69</v>
      </c>
      <c r="B15" s="22">
        <v>54932987</v>
      </c>
      <c r="C15" s="22">
        <v>38776749</v>
      </c>
      <c r="D15" s="22">
        <v>729210822</v>
      </c>
    </row>
    <row r="16" spans="1:4" ht="15" customHeight="1" x14ac:dyDescent="0.3">
      <c r="A16" t="s">
        <v>70</v>
      </c>
      <c r="B16" s="22">
        <v>11816353</v>
      </c>
      <c r="C16" s="22">
        <v>6038050</v>
      </c>
      <c r="D16" s="22">
        <v>144956628</v>
      </c>
    </row>
    <row r="17" spans="1:4" ht="15" customHeight="1" x14ac:dyDescent="0.3">
      <c r="A17" t="s">
        <v>71</v>
      </c>
      <c r="B17" s="22">
        <v>5541244</v>
      </c>
      <c r="C17" s="22">
        <v>3379142</v>
      </c>
      <c r="D17" s="22">
        <v>65611410</v>
      </c>
    </row>
    <row r="18" spans="1:4" ht="15" customHeight="1" x14ac:dyDescent="0.3">
      <c r="A18" t="s">
        <v>72</v>
      </c>
      <c r="B18" s="22">
        <v>867</v>
      </c>
      <c r="C18" s="22">
        <v>512</v>
      </c>
      <c r="D18" s="22">
        <v>11479</v>
      </c>
    </row>
    <row r="19" spans="1:4" ht="15" customHeight="1" x14ac:dyDescent="0.3">
      <c r="A19" t="s">
        <v>73</v>
      </c>
      <c r="B19" s="33">
        <f>B14/B13</f>
        <v>9.1987900865981007E-6</v>
      </c>
      <c r="C19" s="33">
        <f>C14/C13</f>
        <v>6.0380028162407086E-6</v>
      </c>
      <c r="D19" s="33">
        <f>D14/D13</f>
        <v>7.6282389972032142E-6</v>
      </c>
    </row>
    <row r="20" spans="1:4" ht="15" customHeight="1" x14ac:dyDescent="0.3">
      <c r="A20" t="s">
        <v>74</v>
      </c>
      <c r="B20" s="32">
        <f>B16/B17</f>
        <v>2.132436867966832</v>
      </c>
      <c r="C20" s="32">
        <f>C16/C17</f>
        <v>1.7868589127062431</v>
      </c>
      <c r="D20" s="32">
        <f>D16/D17</f>
        <v>2.2093204215547266</v>
      </c>
    </row>
    <row r="22" spans="1:4" ht="15" customHeight="1" x14ac:dyDescent="0.3">
      <c r="A22" s="13"/>
      <c r="B22" s="13"/>
      <c r="C22" s="13"/>
      <c r="D22" s="13"/>
    </row>
    <row r="23" spans="1:4" ht="15" customHeight="1" x14ac:dyDescent="0.3">
      <c r="A23" s="13"/>
      <c r="B23" s="13"/>
      <c r="C23" s="13"/>
      <c r="D23" s="13"/>
    </row>
    <row r="24" spans="1:4" ht="15" customHeight="1" x14ac:dyDescent="0.3">
      <c r="A24" s="13"/>
      <c r="B24" s="13"/>
      <c r="C24" s="13"/>
      <c r="D24" s="13"/>
    </row>
    <row r="25" spans="1:4" ht="15" customHeight="1" x14ac:dyDescent="0.3">
      <c r="A25" s="13"/>
      <c r="B25" s="13"/>
      <c r="C25" s="13"/>
      <c r="D25" s="1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zoomScaleNormal="100" workbookViewId="0">
      <selection activeCell="D10" sqref="D10"/>
    </sheetView>
  </sheetViews>
  <sheetFormatPr defaultColWidth="8.6640625" defaultRowHeight="14.4" x14ac:dyDescent="0.3"/>
  <cols>
    <col min="1" max="1" width="28" customWidth="1"/>
    <col min="2" max="4" width="17" customWidth="1"/>
  </cols>
  <sheetData>
    <row r="1" spans="1:4" ht="19.5" customHeight="1" x14ac:dyDescent="0.3">
      <c r="A1" s="48" t="s">
        <v>76</v>
      </c>
      <c r="B1" s="48"/>
      <c r="C1" s="48"/>
      <c r="D1" s="48"/>
    </row>
    <row r="3" spans="1:4" ht="15" customHeight="1" x14ac:dyDescent="0.3">
      <c r="A3" s="2" t="s">
        <v>1</v>
      </c>
      <c r="B3" s="2" t="s">
        <v>60</v>
      </c>
      <c r="C3" s="2" t="s">
        <v>61</v>
      </c>
      <c r="D3" s="2" t="s">
        <v>62</v>
      </c>
    </row>
    <row r="4" spans="1:4" ht="15" customHeight="1" x14ac:dyDescent="0.3">
      <c r="A4" t="s">
        <v>20</v>
      </c>
      <c r="B4" s="31">
        <v>3</v>
      </c>
      <c r="C4" s="31">
        <v>2</v>
      </c>
      <c r="D4" s="31">
        <v>39</v>
      </c>
    </row>
    <row r="5" spans="1:4" ht="15" customHeight="1" x14ac:dyDescent="0.3">
      <c r="A5" t="s">
        <v>25</v>
      </c>
      <c r="B5" s="22">
        <v>24031511</v>
      </c>
      <c r="C5" s="22">
        <v>24031511</v>
      </c>
      <c r="D5" s="22">
        <v>24031511</v>
      </c>
    </row>
    <row r="6" spans="1:4" ht="15" customHeight="1" x14ac:dyDescent="0.3">
      <c r="A6" t="s">
        <v>26</v>
      </c>
      <c r="B6" s="22">
        <v>20597410</v>
      </c>
      <c r="C6" s="22">
        <v>20597410</v>
      </c>
      <c r="D6" s="22">
        <v>20597410</v>
      </c>
    </row>
    <row r="7" spans="1:4" ht="15" customHeight="1" x14ac:dyDescent="0.3">
      <c r="A7" t="s">
        <v>63</v>
      </c>
      <c r="B7" s="22">
        <v>3434101</v>
      </c>
      <c r="C7" s="22">
        <v>3434101</v>
      </c>
      <c r="D7" s="22">
        <v>3434101</v>
      </c>
    </row>
    <row r="8" spans="1:4" ht="15" customHeight="1" x14ac:dyDescent="0.3">
      <c r="A8" t="s">
        <v>28</v>
      </c>
      <c r="B8" s="14">
        <f>IFERROR(B6/B7,"")</f>
        <v>5.9979045461970975</v>
      </c>
      <c r="C8" s="14">
        <f>IFERROR(C6/C7,"")</f>
        <v>5.9979045461970975</v>
      </c>
      <c r="D8" s="14">
        <f>IFERROR(D6/D7,"")</f>
        <v>5.9979045461970975</v>
      </c>
    </row>
    <row r="9" spans="1:4" ht="15" customHeight="1" x14ac:dyDescent="0.3">
      <c r="A9" t="s">
        <v>64</v>
      </c>
      <c r="B9" s="22">
        <v>1373812</v>
      </c>
      <c r="C9" s="22">
        <v>1373812</v>
      </c>
      <c r="D9" s="22">
        <v>1373812</v>
      </c>
    </row>
    <row r="10" spans="1:4" ht="15" customHeight="1" x14ac:dyDescent="0.3">
      <c r="A10" t="s">
        <v>37</v>
      </c>
      <c r="B10" s="8">
        <f>IFERROR(B9/B5,"")</f>
        <v>5.7167108634991783E-2</v>
      </c>
      <c r="C10" s="8">
        <f>IFERROR(C9/C5,"")</f>
        <v>5.7167108634991783E-2</v>
      </c>
      <c r="D10" s="8">
        <f>IFERROR(D9/D5,"")</f>
        <v>5.7167108634991783E-2</v>
      </c>
    </row>
    <row r="11" spans="1:4" ht="15" customHeight="1" x14ac:dyDescent="0.3">
      <c r="A11" t="s">
        <v>65</v>
      </c>
      <c r="B11" s="22">
        <v>22657699</v>
      </c>
      <c r="C11" s="22">
        <v>22657699</v>
      </c>
      <c r="D11" s="22">
        <v>22657699</v>
      </c>
    </row>
    <row r="12" spans="1:4" ht="15" customHeight="1" x14ac:dyDescent="0.3">
      <c r="A12" t="s">
        <v>66</v>
      </c>
      <c r="B12" s="14">
        <v>2.06</v>
      </c>
      <c r="C12" s="14">
        <v>2.06</v>
      </c>
      <c r="D12" s="14">
        <v>2.06</v>
      </c>
    </row>
    <row r="13" spans="1:4" ht="15" customHeight="1" x14ac:dyDescent="0.3">
      <c r="A13" t="s">
        <v>67</v>
      </c>
      <c r="B13" s="22">
        <f>SUM(B14:B18)</f>
        <v>72094533</v>
      </c>
      <c r="C13" s="22">
        <f>SUM(C14:C18)</f>
        <v>48063022</v>
      </c>
      <c r="D13" s="22">
        <f>SUM(D14:D18)</f>
        <v>937228929</v>
      </c>
    </row>
    <row r="14" spans="1:4" ht="15" customHeight="1" x14ac:dyDescent="0.3">
      <c r="A14" t="s">
        <v>68</v>
      </c>
      <c r="B14" s="22">
        <v>873260</v>
      </c>
      <c r="C14" s="22">
        <v>477375</v>
      </c>
      <c r="D14" s="22">
        <v>11067092</v>
      </c>
    </row>
    <row r="15" spans="1:4" ht="15" customHeight="1" x14ac:dyDescent="0.3">
      <c r="A15" t="s">
        <v>69</v>
      </c>
      <c r="B15" s="22">
        <v>53983136</v>
      </c>
      <c r="C15" s="22">
        <v>38242601</v>
      </c>
      <c r="D15" s="22">
        <v>717185682</v>
      </c>
    </row>
    <row r="16" spans="1:4" ht="15" customHeight="1" x14ac:dyDescent="0.3">
      <c r="A16" t="s">
        <v>70</v>
      </c>
      <c r="B16" s="22">
        <v>11702382</v>
      </c>
      <c r="C16" s="22">
        <v>5965912</v>
      </c>
      <c r="D16" s="22">
        <v>143434101</v>
      </c>
    </row>
    <row r="17" spans="1:4" ht="15" customHeight="1" x14ac:dyDescent="0.3">
      <c r="A17" t="s">
        <v>71</v>
      </c>
      <c r="B17" s="22">
        <v>5535755</v>
      </c>
      <c r="C17" s="22">
        <v>3377134</v>
      </c>
      <c r="D17" s="22">
        <v>65542054</v>
      </c>
    </row>
    <row r="18" spans="1:4" ht="15" customHeight="1" x14ac:dyDescent="0.3">
      <c r="A18" t="s">
        <v>72</v>
      </c>
      <c r="B18" s="22">
        <v>0</v>
      </c>
      <c r="C18" s="22">
        <v>0</v>
      </c>
      <c r="D18" s="22">
        <v>0</v>
      </c>
    </row>
    <row r="19" spans="1:4" ht="15" customHeight="1" x14ac:dyDescent="0.3">
      <c r="A19" t="s">
        <v>73</v>
      </c>
      <c r="B19" s="33">
        <f>B14/B13</f>
        <v>1.2112707630688169E-2</v>
      </c>
      <c r="C19" s="33">
        <f>C14/C13</f>
        <v>9.9322718409175347E-3</v>
      </c>
      <c r="D19" s="33">
        <f>D14/D13</f>
        <v>1.1808312417125572E-2</v>
      </c>
    </row>
    <row r="20" spans="1:4" ht="15" customHeight="1" x14ac:dyDescent="0.3">
      <c r="A20" t="s">
        <v>74</v>
      </c>
      <c r="B20" s="32">
        <f>B16/B17</f>
        <v>2.113963136013064</v>
      </c>
      <c r="C20" s="32">
        <f>C16/C17</f>
        <v>1.7665606398798508</v>
      </c>
      <c r="D20" s="32">
        <f>D16/D17</f>
        <v>2.1884285317027139</v>
      </c>
    </row>
    <row r="22" spans="1:4" ht="15" customHeight="1" x14ac:dyDescent="0.3">
      <c r="A22" s="13"/>
      <c r="B22" s="13"/>
      <c r="C22" s="13"/>
      <c r="D22" s="13"/>
    </row>
    <row r="23" spans="1:4" ht="15" customHeight="1" x14ac:dyDescent="0.3">
      <c r="A23" s="13"/>
      <c r="B23" s="13"/>
      <c r="C23" s="13"/>
      <c r="D23" s="13"/>
    </row>
    <row r="24" spans="1:4" ht="15" customHeight="1" x14ac:dyDescent="0.3">
      <c r="A24" s="13"/>
      <c r="B24" s="13"/>
      <c r="C24" s="13"/>
      <c r="D24" s="13"/>
    </row>
    <row r="25" spans="1:4" ht="15" customHeight="1" x14ac:dyDescent="0.3">
      <c r="A25" s="13"/>
      <c r="B25" s="13"/>
      <c r="C25" s="13"/>
      <c r="D25" s="1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904F-EE40-4EE6-A1F2-8BC4CA2463B3}">
  <dimension ref="A1:G38"/>
  <sheetViews>
    <sheetView tabSelected="1" workbookViewId="0">
      <pane ySplit="2" topLeftCell="A18" activePane="bottomLeft" state="frozen"/>
      <selection pane="bottomLeft" activeCell="A2" sqref="A2:XFD2"/>
    </sheetView>
  </sheetViews>
  <sheetFormatPr defaultRowHeight="14.4" x14ac:dyDescent="0.3"/>
  <cols>
    <col min="1" max="1" width="16" style="49" customWidth="1"/>
    <col min="2" max="2" width="15" style="49" customWidth="1"/>
    <col min="3" max="3" width="38" style="49" customWidth="1"/>
    <col min="4" max="4" width="22" style="49" customWidth="1"/>
    <col min="5" max="5" width="34" style="49" customWidth="1"/>
    <col min="6" max="6" width="23" style="49" customWidth="1"/>
    <col min="7" max="7" width="28" style="49" customWidth="1"/>
    <col min="8" max="16384" width="8.88671875" style="49"/>
  </cols>
  <sheetData>
    <row r="1" spans="1:7" ht="28.05" customHeight="1" x14ac:dyDescent="0.3">
      <c r="A1" s="57" t="s">
        <v>140</v>
      </c>
      <c r="B1" s="56"/>
      <c r="C1" s="56"/>
      <c r="D1" s="56"/>
      <c r="E1" s="56"/>
      <c r="F1" s="56"/>
      <c r="G1" s="56"/>
    </row>
    <row r="2" spans="1:7" ht="28.8" x14ac:dyDescent="0.3">
      <c r="A2" s="55" t="s">
        <v>139</v>
      </c>
      <c r="B2" s="55" t="s">
        <v>138</v>
      </c>
      <c r="C2" s="55" t="s">
        <v>137</v>
      </c>
      <c r="D2" s="55" t="s">
        <v>136</v>
      </c>
      <c r="E2" s="55" t="s">
        <v>135</v>
      </c>
      <c r="F2" s="55" t="s">
        <v>134</v>
      </c>
      <c r="G2" s="55" t="s">
        <v>133</v>
      </c>
    </row>
    <row r="3" spans="1:7" x14ac:dyDescent="0.3">
      <c r="A3" s="53" t="s">
        <v>132</v>
      </c>
      <c r="B3" s="53">
        <v>3</v>
      </c>
      <c r="C3" s="50" t="s">
        <v>78</v>
      </c>
      <c r="D3" s="50" t="s">
        <v>127</v>
      </c>
      <c r="E3" s="52">
        <v>-1972.6669999999999</v>
      </c>
      <c r="F3" s="54">
        <v>0.83568229999999999</v>
      </c>
      <c r="G3" s="50" t="s">
        <v>130</v>
      </c>
    </row>
    <row r="4" spans="1:7" x14ac:dyDescent="0.3">
      <c r="A4" s="53" t="s">
        <v>132</v>
      </c>
      <c r="B4" s="53">
        <v>3</v>
      </c>
      <c r="C4" s="50" t="s">
        <v>78</v>
      </c>
      <c r="D4" s="50" t="s">
        <v>126</v>
      </c>
      <c r="E4" s="52">
        <v>20108.667000000001</v>
      </c>
      <c r="F4" s="51">
        <v>9.4622920000000006E-3</v>
      </c>
      <c r="G4" s="50" t="s">
        <v>122</v>
      </c>
    </row>
    <row r="5" spans="1:7" x14ac:dyDescent="0.3">
      <c r="A5" s="53" t="s">
        <v>132</v>
      </c>
      <c r="B5" s="53">
        <v>3</v>
      </c>
      <c r="C5" s="50" t="s">
        <v>78</v>
      </c>
      <c r="D5" s="50" t="s">
        <v>123</v>
      </c>
      <c r="E5" s="52">
        <v>22081.332999999999</v>
      </c>
      <c r="F5" s="54">
        <v>0.1972776</v>
      </c>
      <c r="G5" s="50" t="s">
        <v>130</v>
      </c>
    </row>
    <row r="6" spans="1:7" x14ac:dyDescent="0.3">
      <c r="A6" s="53" t="s">
        <v>132</v>
      </c>
      <c r="B6" s="53">
        <v>3</v>
      </c>
      <c r="C6" s="50" t="s">
        <v>129</v>
      </c>
      <c r="D6" s="50" t="s">
        <v>127</v>
      </c>
      <c r="E6" s="52">
        <v>10986.333000000001</v>
      </c>
      <c r="F6" s="54">
        <v>0.1500544</v>
      </c>
      <c r="G6" s="50" t="s">
        <v>130</v>
      </c>
    </row>
    <row r="7" spans="1:7" x14ac:dyDescent="0.3">
      <c r="A7" s="53" t="s">
        <v>132</v>
      </c>
      <c r="B7" s="53">
        <v>3</v>
      </c>
      <c r="C7" s="50" t="s">
        <v>129</v>
      </c>
      <c r="D7" s="50" t="s">
        <v>126</v>
      </c>
      <c r="E7" s="52">
        <v>1387.3330000000001</v>
      </c>
      <c r="F7" s="54">
        <v>0.1500544</v>
      </c>
      <c r="G7" s="50" t="s">
        <v>130</v>
      </c>
    </row>
    <row r="8" spans="1:7" x14ac:dyDescent="0.3">
      <c r="A8" s="53" t="s">
        <v>132</v>
      </c>
      <c r="B8" s="53">
        <v>3</v>
      </c>
      <c r="C8" s="50" t="s">
        <v>129</v>
      </c>
      <c r="D8" s="50" t="s">
        <v>123</v>
      </c>
      <c r="E8" s="52">
        <v>-9599</v>
      </c>
      <c r="F8" s="54">
        <v>0.1500544</v>
      </c>
      <c r="G8" s="50" t="s">
        <v>130</v>
      </c>
    </row>
    <row r="9" spans="1:7" x14ac:dyDescent="0.3">
      <c r="A9" s="53" t="s">
        <v>132</v>
      </c>
      <c r="B9" s="53">
        <v>3</v>
      </c>
      <c r="C9" s="50" t="s">
        <v>128</v>
      </c>
      <c r="D9" s="50" t="s">
        <v>127</v>
      </c>
      <c r="E9" s="52">
        <v>9995</v>
      </c>
      <c r="F9" s="54">
        <v>0.1568309</v>
      </c>
      <c r="G9" s="50" t="s">
        <v>130</v>
      </c>
    </row>
    <row r="10" spans="1:7" x14ac:dyDescent="0.3">
      <c r="A10" s="53" t="s">
        <v>132</v>
      </c>
      <c r="B10" s="53">
        <v>3</v>
      </c>
      <c r="C10" s="50" t="s">
        <v>128</v>
      </c>
      <c r="D10" s="50" t="s">
        <v>126</v>
      </c>
      <c r="E10" s="52">
        <v>2386.3330000000001</v>
      </c>
      <c r="F10" s="54">
        <v>6.3940319999999995E-2</v>
      </c>
      <c r="G10" s="50" t="s">
        <v>130</v>
      </c>
    </row>
    <row r="11" spans="1:7" x14ac:dyDescent="0.3">
      <c r="A11" s="53" t="s">
        <v>132</v>
      </c>
      <c r="B11" s="53">
        <v>3</v>
      </c>
      <c r="C11" s="50" t="s">
        <v>128</v>
      </c>
      <c r="D11" s="50" t="s">
        <v>123</v>
      </c>
      <c r="E11" s="52">
        <v>-7608.6670000000004</v>
      </c>
      <c r="F11" s="54">
        <v>0.1568309</v>
      </c>
      <c r="G11" s="50" t="s">
        <v>130</v>
      </c>
    </row>
    <row r="12" spans="1:7" x14ac:dyDescent="0.3">
      <c r="A12" s="53" t="s">
        <v>132</v>
      </c>
      <c r="B12" s="53">
        <v>3</v>
      </c>
      <c r="C12" s="50" t="s">
        <v>124</v>
      </c>
      <c r="D12" s="50" t="s">
        <v>127</v>
      </c>
      <c r="E12" s="52">
        <v>-14010</v>
      </c>
      <c r="F12" s="51">
        <v>2.843414E-2</v>
      </c>
      <c r="G12" s="50" t="s">
        <v>122</v>
      </c>
    </row>
    <row r="13" spans="1:7" x14ac:dyDescent="0.3">
      <c r="A13" s="53" t="s">
        <v>132</v>
      </c>
      <c r="B13" s="53">
        <v>3</v>
      </c>
      <c r="C13" s="50" t="s">
        <v>124</v>
      </c>
      <c r="D13" s="50" t="s">
        <v>126</v>
      </c>
      <c r="E13" s="52">
        <v>2835</v>
      </c>
      <c r="F13" s="51">
        <v>4.7165329999999998E-2</v>
      </c>
      <c r="G13" s="50" t="s">
        <v>122</v>
      </c>
    </row>
    <row r="14" spans="1:7" x14ac:dyDescent="0.3">
      <c r="A14" s="53" t="s">
        <v>132</v>
      </c>
      <c r="B14" s="53">
        <v>3</v>
      </c>
      <c r="C14" s="50" t="s">
        <v>124</v>
      </c>
      <c r="D14" s="50" t="s">
        <v>123</v>
      </c>
      <c r="E14" s="52">
        <v>16845</v>
      </c>
      <c r="F14" s="51">
        <v>2.843414E-2</v>
      </c>
      <c r="G14" s="50" t="s">
        <v>122</v>
      </c>
    </row>
    <row r="15" spans="1:7" x14ac:dyDescent="0.3">
      <c r="A15" s="53" t="s">
        <v>131</v>
      </c>
      <c r="B15" s="53">
        <v>2</v>
      </c>
      <c r="C15" s="50" t="s">
        <v>78</v>
      </c>
      <c r="D15" s="50" t="s">
        <v>127</v>
      </c>
      <c r="E15" s="52">
        <v>21509.5</v>
      </c>
      <c r="F15" s="54">
        <v>0.61855689999999997</v>
      </c>
      <c r="G15" s="50" t="s">
        <v>130</v>
      </c>
    </row>
    <row r="16" spans="1:7" x14ac:dyDescent="0.3">
      <c r="A16" s="53" t="s">
        <v>131</v>
      </c>
      <c r="B16" s="53">
        <v>2</v>
      </c>
      <c r="C16" s="50" t="s">
        <v>78</v>
      </c>
      <c r="D16" s="50" t="s">
        <v>126</v>
      </c>
      <c r="E16" s="52">
        <v>19875</v>
      </c>
      <c r="F16" s="54">
        <v>0.10205019999999999</v>
      </c>
      <c r="G16" s="50" t="s">
        <v>130</v>
      </c>
    </row>
    <row r="17" spans="1:7" x14ac:dyDescent="0.3">
      <c r="A17" s="53" t="s">
        <v>131</v>
      </c>
      <c r="B17" s="53">
        <v>2</v>
      </c>
      <c r="C17" s="50" t="s">
        <v>78</v>
      </c>
      <c r="D17" s="50" t="s">
        <v>123</v>
      </c>
      <c r="E17" s="52">
        <v>-1634.5</v>
      </c>
      <c r="F17" s="54">
        <v>0.89975799999999995</v>
      </c>
      <c r="G17" s="50" t="s">
        <v>130</v>
      </c>
    </row>
    <row r="18" spans="1:7" x14ac:dyDescent="0.3">
      <c r="A18" s="53" t="s">
        <v>131</v>
      </c>
      <c r="B18" s="53">
        <v>2</v>
      </c>
      <c r="C18" s="50" t="s">
        <v>129</v>
      </c>
      <c r="D18" s="50" t="s">
        <v>127</v>
      </c>
      <c r="E18" s="52">
        <v>15496</v>
      </c>
      <c r="F18" s="54">
        <v>0.19397490000000001</v>
      </c>
      <c r="G18" s="50" t="s">
        <v>130</v>
      </c>
    </row>
    <row r="19" spans="1:7" x14ac:dyDescent="0.3">
      <c r="A19" s="53" t="s">
        <v>131</v>
      </c>
      <c r="B19" s="53">
        <v>2</v>
      </c>
      <c r="C19" s="50" t="s">
        <v>129</v>
      </c>
      <c r="D19" s="50" t="s">
        <v>126</v>
      </c>
      <c r="E19" s="52">
        <v>652.5</v>
      </c>
      <c r="F19" s="54">
        <v>0.19397490000000001</v>
      </c>
      <c r="G19" s="50" t="s">
        <v>130</v>
      </c>
    </row>
    <row r="20" spans="1:7" x14ac:dyDescent="0.3">
      <c r="A20" s="53" t="s">
        <v>131</v>
      </c>
      <c r="B20" s="53">
        <v>2</v>
      </c>
      <c r="C20" s="50" t="s">
        <v>129</v>
      </c>
      <c r="D20" s="50" t="s">
        <v>123</v>
      </c>
      <c r="E20" s="52">
        <v>-14843.5</v>
      </c>
      <c r="F20" s="54">
        <v>0.19397490000000001</v>
      </c>
      <c r="G20" s="50" t="s">
        <v>130</v>
      </c>
    </row>
    <row r="21" spans="1:7" x14ac:dyDescent="0.3">
      <c r="A21" s="53" t="s">
        <v>131</v>
      </c>
      <c r="B21" s="53">
        <v>2</v>
      </c>
      <c r="C21" s="50" t="s">
        <v>128</v>
      </c>
      <c r="D21" s="50" t="s">
        <v>127</v>
      </c>
      <c r="E21" s="52">
        <v>20112.5</v>
      </c>
      <c r="F21" s="54">
        <v>0.210511</v>
      </c>
      <c r="G21" s="50" t="s">
        <v>130</v>
      </c>
    </row>
    <row r="22" spans="1:7" x14ac:dyDescent="0.3">
      <c r="A22" s="53" t="s">
        <v>131</v>
      </c>
      <c r="B22" s="53">
        <v>2</v>
      </c>
      <c r="C22" s="50" t="s">
        <v>128</v>
      </c>
      <c r="D22" s="50" t="s">
        <v>126</v>
      </c>
      <c r="E22" s="52">
        <v>1648</v>
      </c>
      <c r="F22" s="54">
        <v>0.210511</v>
      </c>
      <c r="G22" s="50" t="s">
        <v>130</v>
      </c>
    </row>
    <row r="23" spans="1:7" x14ac:dyDescent="0.3">
      <c r="A23" s="53" t="s">
        <v>131</v>
      </c>
      <c r="B23" s="53">
        <v>2</v>
      </c>
      <c r="C23" s="50" t="s">
        <v>128</v>
      </c>
      <c r="D23" s="50" t="s">
        <v>123</v>
      </c>
      <c r="E23" s="52">
        <v>-18464.5</v>
      </c>
      <c r="F23" s="54">
        <v>0.210511</v>
      </c>
      <c r="G23" s="50" t="s">
        <v>130</v>
      </c>
    </row>
    <row r="24" spans="1:7" x14ac:dyDescent="0.3">
      <c r="A24" s="53" t="s">
        <v>131</v>
      </c>
      <c r="B24" s="53">
        <v>2</v>
      </c>
      <c r="C24" s="50" t="s">
        <v>124</v>
      </c>
      <c r="D24" s="50" t="s">
        <v>127</v>
      </c>
      <c r="E24" s="52">
        <v>-16265.5</v>
      </c>
      <c r="F24" s="54">
        <v>0.32369690000000001</v>
      </c>
      <c r="G24" s="50" t="s">
        <v>130</v>
      </c>
    </row>
    <row r="25" spans="1:7" x14ac:dyDescent="0.3">
      <c r="A25" s="53" t="s">
        <v>131</v>
      </c>
      <c r="B25" s="53">
        <v>2</v>
      </c>
      <c r="C25" s="50" t="s">
        <v>124</v>
      </c>
      <c r="D25" s="50" t="s">
        <v>126</v>
      </c>
      <c r="E25" s="52">
        <v>2721.5</v>
      </c>
      <c r="F25" s="54">
        <v>0.32369690000000001</v>
      </c>
      <c r="G25" s="50" t="s">
        <v>130</v>
      </c>
    </row>
    <row r="26" spans="1:7" x14ac:dyDescent="0.3">
      <c r="A26" s="53" t="s">
        <v>131</v>
      </c>
      <c r="B26" s="53">
        <v>2</v>
      </c>
      <c r="C26" s="50" t="s">
        <v>124</v>
      </c>
      <c r="D26" s="50" t="s">
        <v>123</v>
      </c>
      <c r="E26" s="52">
        <v>18987</v>
      </c>
      <c r="F26" s="54">
        <v>0.32369690000000001</v>
      </c>
      <c r="G26" s="50" t="s">
        <v>130</v>
      </c>
    </row>
    <row r="27" spans="1:7" x14ac:dyDescent="0.3">
      <c r="A27" s="53" t="s">
        <v>125</v>
      </c>
      <c r="B27" s="53">
        <v>39</v>
      </c>
      <c r="C27" s="50" t="s">
        <v>78</v>
      </c>
      <c r="D27" s="50" t="s">
        <v>127</v>
      </c>
      <c r="E27" s="52">
        <v>8875.3590000000004</v>
      </c>
      <c r="F27" s="51">
        <v>5.8592490000000002E-4</v>
      </c>
      <c r="G27" s="50" t="s">
        <v>122</v>
      </c>
    </row>
    <row r="28" spans="1:7" x14ac:dyDescent="0.3">
      <c r="A28" s="53" t="s">
        <v>125</v>
      </c>
      <c r="B28" s="53">
        <v>39</v>
      </c>
      <c r="C28" s="50" t="s">
        <v>78</v>
      </c>
      <c r="D28" s="50" t="s">
        <v>126</v>
      </c>
      <c r="E28" s="52">
        <v>20965.667000000001</v>
      </c>
      <c r="F28" s="51">
        <v>1.8896070000000001E-45</v>
      </c>
      <c r="G28" s="50" t="s">
        <v>122</v>
      </c>
    </row>
    <row r="29" spans="1:7" x14ac:dyDescent="0.3">
      <c r="A29" s="53" t="s">
        <v>125</v>
      </c>
      <c r="B29" s="53">
        <v>39</v>
      </c>
      <c r="C29" s="50" t="s">
        <v>78</v>
      </c>
      <c r="D29" s="50" t="s">
        <v>123</v>
      </c>
      <c r="E29" s="52">
        <v>12090.308000000001</v>
      </c>
      <c r="F29" s="51">
        <v>5.8453749999999999E-6</v>
      </c>
      <c r="G29" s="50" t="s">
        <v>122</v>
      </c>
    </row>
    <row r="30" spans="1:7" x14ac:dyDescent="0.3">
      <c r="A30" s="53" t="s">
        <v>125</v>
      </c>
      <c r="B30" s="53">
        <v>39</v>
      </c>
      <c r="C30" s="50" t="s">
        <v>129</v>
      </c>
      <c r="D30" s="50" t="s">
        <v>127</v>
      </c>
      <c r="E30" s="52">
        <v>13849.462</v>
      </c>
      <c r="F30" s="51">
        <v>6.9191540000000002E-18</v>
      </c>
      <c r="G30" s="50" t="s">
        <v>122</v>
      </c>
    </row>
    <row r="31" spans="1:7" x14ac:dyDescent="0.3">
      <c r="A31" s="53" t="s">
        <v>125</v>
      </c>
      <c r="B31" s="53">
        <v>39</v>
      </c>
      <c r="C31" s="50" t="s">
        <v>129</v>
      </c>
      <c r="D31" s="50" t="s">
        <v>126</v>
      </c>
      <c r="E31" s="52">
        <v>1276.385</v>
      </c>
      <c r="F31" s="51">
        <v>2.2785179999999999E-18</v>
      </c>
      <c r="G31" s="50" t="s">
        <v>122</v>
      </c>
    </row>
    <row r="32" spans="1:7" x14ac:dyDescent="0.3">
      <c r="A32" s="53" t="s">
        <v>125</v>
      </c>
      <c r="B32" s="53">
        <v>39</v>
      </c>
      <c r="C32" s="50" t="s">
        <v>129</v>
      </c>
      <c r="D32" s="50" t="s">
        <v>123</v>
      </c>
      <c r="E32" s="52">
        <v>-12573.076999999999</v>
      </c>
      <c r="F32" s="51">
        <v>2.9869980000000003E-17</v>
      </c>
      <c r="G32" s="50" t="s">
        <v>122</v>
      </c>
    </row>
    <row r="33" spans="1:7" x14ac:dyDescent="0.3">
      <c r="A33" s="53" t="s">
        <v>125</v>
      </c>
      <c r="B33" s="53">
        <v>39</v>
      </c>
      <c r="C33" s="50" t="s">
        <v>128</v>
      </c>
      <c r="D33" s="50" t="s">
        <v>127</v>
      </c>
      <c r="E33" s="52">
        <v>15499.050999999999</v>
      </c>
      <c r="F33" s="51">
        <v>1.040641E-20</v>
      </c>
      <c r="G33" s="50" t="s">
        <v>122</v>
      </c>
    </row>
    <row r="34" spans="1:7" x14ac:dyDescent="0.3">
      <c r="A34" s="53" t="s">
        <v>125</v>
      </c>
      <c r="B34" s="53">
        <v>39</v>
      </c>
      <c r="C34" s="50" t="s">
        <v>128</v>
      </c>
      <c r="D34" s="50" t="s">
        <v>126</v>
      </c>
      <c r="E34" s="52">
        <v>2253.59</v>
      </c>
      <c r="F34" s="51">
        <v>7.5971680000000001E-29</v>
      </c>
      <c r="G34" s="50" t="s">
        <v>122</v>
      </c>
    </row>
    <row r="35" spans="1:7" x14ac:dyDescent="0.3">
      <c r="A35" s="53" t="s">
        <v>125</v>
      </c>
      <c r="B35" s="53">
        <v>39</v>
      </c>
      <c r="C35" s="50" t="s">
        <v>128</v>
      </c>
      <c r="D35" s="50" t="s">
        <v>123</v>
      </c>
      <c r="E35" s="52">
        <v>-13245.462</v>
      </c>
      <c r="F35" s="51">
        <v>2.023778E-19</v>
      </c>
      <c r="G35" s="50" t="s">
        <v>122</v>
      </c>
    </row>
    <row r="36" spans="1:7" x14ac:dyDescent="0.3">
      <c r="A36" s="53" t="s">
        <v>125</v>
      </c>
      <c r="B36" s="53">
        <v>39</v>
      </c>
      <c r="C36" s="50" t="s">
        <v>124</v>
      </c>
      <c r="D36" s="50" t="s">
        <v>127</v>
      </c>
      <c r="E36" s="52">
        <v>-16084.821</v>
      </c>
      <c r="F36" s="51">
        <v>1.033456E-32</v>
      </c>
      <c r="G36" s="50" t="s">
        <v>122</v>
      </c>
    </row>
    <row r="37" spans="1:7" x14ac:dyDescent="0.3">
      <c r="A37" s="53" t="s">
        <v>125</v>
      </c>
      <c r="B37" s="53">
        <v>39</v>
      </c>
      <c r="C37" s="50" t="s">
        <v>124</v>
      </c>
      <c r="D37" s="50" t="s">
        <v>126</v>
      </c>
      <c r="E37" s="52">
        <v>3342.1030000000001</v>
      </c>
      <c r="F37" s="51">
        <v>5.0493199999999999E-13</v>
      </c>
      <c r="G37" s="50" t="s">
        <v>122</v>
      </c>
    </row>
    <row r="38" spans="1:7" x14ac:dyDescent="0.3">
      <c r="A38" s="53" t="s">
        <v>125</v>
      </c>
      <c r="B38" s="53">
        <v>39</v>
      </c>
      <c r="C38" s="50" t="s">
        <v>124</v>
      </c>
      <c r="D38" s="50" t="s">
        <v>123</v>
      </c>
      <c r="E38" s="52">
        <v>19426.922999999999</v>
      </c>
      <c r="F38" s="51">
        <v>2.6670370000000001E-27</v>
      </c>
      <c r="G38" s="50" t="s">
        <v>122</v>
      </c>
    </row>
  </sheetData>
  <autoFilter ref="A2:G38" xr:uid="{00000000-0009-0000-0000-000000000000}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F355-9D2D-497A-8BF3-8C3446F4654A}">
  <dimension ref="A1:D15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5" style="49" customWidth="1"/>
    <col min="2" max="2" width="10" style="49" customWidth="1"/>
    <col min="3" max="3" width="25" style="49" customWidth="1"/>
    <col min="4" max="4" width="22" style="49" customWidth="1"/>
    <col min="5" max="16384" width="8.88671875" style="49"/>
  </cols>
  <sheetData>
    <row r="1" spans="1:4" ht="18" x14ac:dyDescent="0.35">
      <c r="A1" s="63" t="s">
        <v>151</v>
      </c>
      <c r="B1" s="56"/>
      <c r="C1" s="56"/>
      <c r="D1" s="56"/>
    </row>
    <row r="3" spans="1:4" x14ac:dyDescent="0.3">
      <c r="A3" s="62" t="s">
        <v>139</v>
      </c>
      <c r="B3" s="62" t="s">
        <v>150</v>
      </c>
      <c r="C3" s="62" t="s">
        <v>149</v>
      </c>
      <c r="D3" s="62" t="s">
        <v>148</v>
      </c>
    </row>
    <row r="4" spans="1:4" x14ac:dyDescent="0.3">
      <c r="A4" s="60" t="s">
        <v>132</v>
      </c>
      <c r="B4" s="60">
        <v>3</v>
      </c>
      <c r="C4" s="60">
        <v>4</v>
      </c>
      <c r="D4" s="60">
        <v>12</v>
      </c>
    </row>
    <row r="5" spans="1:4" x14ac:dyDescent="0.3">
      <c r="A5" s="61" t="s">
        <v>131</v>
      </c>
      <c r="B5" s="61">
        <v>2</v>
      </c>
      <c r="C5" s="61">
        <v>0</v>
      </c>
      <c r="D5" s="61">
        <v>12</v>
      </c>
    </row>
    <row r="6" spans="1:4" x14ac:dyDescent="0.3">
      <c r="A6" s="60" t="s">
        <v>125</v>
      </c>
      <c r="B6" s="60">
        <v>39</v>
      </c>
      <c r="C6" s="60">
        <v>12</v>
      </c>
      <c r="D6" s="60">
        <v>12</v>
      </c>
    </row>
    <row r="9" spans="1:4" x14ac:dyDescent="0.3">
      <c r="A9" s="59" t="s">
        <v>147</v>
      </c>
    </row>
    <row r="10" spans="1:4" ht="30" customHeight="1" x14ac:dyDescent="0.3">
      <c r="A10" s="58" t="s">
        <v>146</v>
      </c>
      <c r="B10" s="56"/>
      <c r="C10" s="56"/>
      <c r="D10" s="56"/>
    </row>
    <row r="11" spans="1:4" ht="30" customHeight="1" x14ac:dyDescent="0.3">
      <c r="A11" s="58" t="s">
        <v>145</v>
      </c>
      <c r="B11" s="56"/>
      <c r="C11" s="56"/>
      <c r="D11" s="56"/>
    </row>
    <row r="12" spans="1:4" ht="30" customHeight="1" x14ac:dyDescent="0.3">
      <c r="A12" s="58" t="s">
        <v>144</v>
      </c>
      <c r="B12" s="56"/>
      <c r="C12" s="56"/>
      <c r="D12" s="56"/>
    </row>
    <row r="13" spans="1:4" ht="30" customHeight="1" x14ac:dyDescent="0.3">
      <c r="A13" s="58" t="s">
        <v>143</v>
      </c>
      <c r="B13" s="56"/>
      <c r="C13" s="56"/>
      <c r="D13" s="56"/>
    </row>
    <row r="14" spans="1:4" ht="30" customHeight="1" x14ac:dyDescent="0.3">
      <c r="A14" s="58" t="s">
        <v>142</v>
      </c>
      <c r="B14" s="56"/>
      <c r="C14" s="56"/>
      <c r="D14" s="56"/>
    </row>
    <row r="15" spans="1:4" ht="30" customHeight="1" x14ac:dyDescent="0.3">
      <c r="A15" s="58" t="s">
        <v>141</v>
      </c>
      <c r="B15" s="56"/>
      <c r="C15" s="56"/>
      <c r="D15" s="56"/>
    </row>
  </sheetData>
  <mergeCells count="7">
    <mergeCell ref="A1:D1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Computational resources</vt:lpstr>
      <vt:lpstr>Variant Counts</vt:lpstr>
      <vt:lpstr>Database Con &amp; Variant</vt:lpstr>
      <vt:lpstr>gnomAD AF_grpmax</vt:lpstr>
      <vt:lpstr>Allele AF bins</vt:lpstr>
      <vt:lpstr>Pop Metrics - DeepVariant</vt:lpstr>
      <vt:lpstr>Pop Metrics - GATK</vt:lpstr>
      <vt:lpstr>Pop Metrics - DRAGEN-GATK</vt:lpstr>
      <vt:lpstr>Paired t-test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Scholtz, A, Miss [27777197@sun.ac.za]</cp:lastModifiedBy>
  <cp:revision>0</cp:revision>
  <dcterms:created xsi:type="dcterms:W3CDTF">2026-10-07T10:41:18Z</dcterms:created>
  <dcterms:modified xsi:type="dcterms:W3CDTF">2026-10-26T12:52:05Z</dcterms:modified>
  <dc:language>en-US</dc:language>
</cp:coreProperties>
</file>